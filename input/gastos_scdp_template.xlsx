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BASE VIAGENS" sheetId="1" state="visible" r:id="rId1"/>
    <sheet name="APOIO" sheetId="2" state="visible" r:id="rId2"/>
    <sheet name="RESUMO GASTOS" sheetId="3" state="visible" r:id="rId3"/>
  </sheets>
  <definedNames>
    <definedName name="ApoioA">OFFSET('APOIO'!$A$1,1,0,MAX(1,'RESUMO GASTOS'!$R$1),1)</definedName>
    <definedName name="ApoioB">OFFSET('APOIO'!$B$1,1,0,MAX(1,'RESUMO GASTOS'!$R$1),1)</definedName>
    <definedName name="ApoioC">OFFSET('APOIO'!$C$1,1,0,MAX(1,'RESUMO GASTOS'!$R$1),1)</definedName>
    <definedName name="ApoioCatalogo">OFFSET('APOIO'!$A$1,1,0,MAX(1,'RESUMO GASTOS'!$R$1),3)</definedName>
    <definedName name="ApoioD">OFFSET('APOIO'!$D$1,1,0,MAX(1,'RESUMO GASTOS'!$R$1),1)</definedName>
    <definedName name="ApoioE">OFFSET('APOIO'!$E$1,1,0,MAX(1,'RESUMO GASTOS'!$R$1),1)</definedName>
    <definedName name="ApoioF">OFFSET('APOIO'!$F$1,1,0,MAX(1,'RESUMO GASTOS'!$R$1),1)</definedName>
    <definedName name="ApoioG">OFFSET('APOIO'!$G$1,1,0,MAX(1,'RESUMO GASTOS'!$R$1),1)</definedName>
    <definedName name="ApoioJ">OFFSET('APOIO'!$H$1,1,0,MAX(1,'RESUMO GASTOS'!$R$1),1)</definedName>
    <definedName name="ApoioK">OFFSET('APOIO'!$I$1,1,0,MAX(1,'RESUMO GASTOS'!$R$1),1)</definedName>
    <definedName name="ApoioL">OFFSET('APOIO'!$J$1,1,0,MAX(1,'RESUMO GASTOS'!$R$1),1)</definedName>
    <definedName name="ApoioM">OFFSET('APOIO'!$K$1,1,0,MAX(1,'RESUMO GASTOS'!$R$1),1)</definedName>
    <definedName name="CodigosDebito">OFFSET('APOIO'!$A$1,1,0,MAX(1,'RESUMO GASTOS'!$R$1),1)</definedName>
    <definedName name="ResumoB">OFFSET('RESUMO GASTOS'!$B$1,1,0,MAX(1,'RESUMO GASTOS'!$R$3),1)</definedName>
    <definedName name="ResumoC">OFFSET('RESUMO GASTOS'!$C$1,1,0,MAX(1,'RESUMO GASTOS'!$R$3),1)</definedName>
    <definedName name="ResumoD">OFFSET('RESUMO GASTOS'!$D$1,1,0,MAX(1,'RESUMO GASTOS'!$R$3),1)</definedName>
    <definedName name="ResumoE">OFFSET('RESUMO GASTOS'!$E$1,1,0,MAX(1,'RESUMO GASTOS'!$R$3),1)</definedName>
    <definedName name="ResumoF">OFFSET('RESUMO GASTOS'!$F$1,1,0,MAX(1,'RESUMO GASTOS'!$R$3),1)</definedName>
    <definedName name="ResumoG">OFFSET('RESUMO GASTOS'!$G$1,1,0,MAX(1,'RESUMO GASTOS'!$R$3),1)</definedName>
    <definedName name="ResumoH">OFFSET('RESUMO GASTOS'!$H$1,1,0,MAX(1,'RESUMO GASTOS'!$R$3),1)</definedName>
    <definedName name="ResumoI">OFFSET('RESUMO GASTOS'!$I$1,1,0,MAX(1,'RESUMO GASTOS'!$R$3),1)</definedName>
    <definedName name="ResumoJ">OFFSET('RESUMO GASTOS'!$J$1,1,0,MAX(1,'RESUMO GASTOS'!$R$3),1)</definedName>
    <definedName name="ResumoK">OFFSET('RESUMO GASTOS'!$K$1,1,0,MAX(1,'RESUMO GASTOS'!$R$3),1)</definedName>
    <definedName name="ResumoL">OFFSET('RESUMO GASTOS'!$L$1,1,0,MAX(1,'RESUMO GASTOS'!$R$3),1)</definedName>
    <definedName name="ResumoM">OFFSET('RESUMO GASTOS'!$M$1,1,0,MAX(1,'RESUMO GASTOS'!$R$3),1)</definedName>
    <definedName name="ResumoN">OFFSET('RESUMO GASTOS'!$N$1,1,0,MAX(1,'RESUMO GASTOS'!$R$3),1)</definedName>
    <definedName name="ResumoO">OFFSET('RESUMO GASTOS'!$O$1,1,0,MAX(1,'RESUMO GASTOS'!$R$3),1)</definedName>
    <definedName name="ResumoP">OFFSET('RESUMO GASTOS'!$P$1,1,0,MAX(1,'RESUMO GASTOS'!$R$3),1)</definedName>
    <definedName name="SCDPLayoutVersion" hidden="0" function="0" vbProcedure="0">"10"</definedName>
    <definedName name="ViagensA">OFFSET('BASE VIAGENS'!$A$1,1,0,MAX(1,'RESUMO GASTOS'!$R$2),1)</definedName>
    <definedName name="ViagensB">OFFSET('BASE VIAGENS'!$B$1,1,0,MAX(1,'RESUMO GASTOS'!$R$2),1)</definedName>
    <definedName name="ViagensC">OFFSET('BASE VIAGENS'!$C$1,1,0,MAX(1,'RESUMO GASTOS'!$R$2),1)</definedName>
    <definedName name="ViagensD">OFFSET('BASE VIAGENS'!$D$1,1,0,MAX(1,'RESUMO GASTOS'!$R$2),1)</definedName>
    <definedName name="ViagensE">OFFSET('BASE VIAGENS'!$E$1,1,0,MAX(1,'RESUMO GASTOS'!$R$2),1)</definedName>
    <definedName name="ViagensF">OFFSET('BASE VIAGENS'!$F$1,1,0,MAX(1,'RESUMO GASTOS'!$R$2),1)</definedName>
    <definedName name="ViagensG">OFFSET('BASE VIAGENS'!$G$1,1,0,MAX(1,'RESUMO GASTOS'!$R$2),1)</definedName>
    <definedName name="ViagensH">OFFSET('BASE VIAGENS'!$H$1,1,0,MAX(1,'RESUMO GASTOS'!$R$2),1)</definedName>
    <definedName name="ViagensI">OFFSET('BASE VIAGENS'!$I$1,1,0,MAX(1,'RESUMO GASTOS'!$R$2),1)</definedName>
    <definedName name="ViagensJ">OFFSET('BASE VIAGENS'!$J$1,1,0,MAX(1,'RESUMO GASTOS'!$R$2),1)</definedName>
    <definedName name="ViagensK">OFFSET('BASE VIAGENS'!$K$1,1,0,MAX(1,'RESUMO GASTOS'!$R$2),1)</definedName>
    <definedName name="ViagensL">OFFSET('BASE VIAGENS'!$P$1,1,0,MAX(1,'RESUMO GASTOS'!$R$2),1)</definedName>
    <definedName name="ViagensM">OFFSET('BASE VIAGENS'!$Q$1,1,0,MAX(1,'RESUMO GASTOS'!$R$2),1)</definedName>
    <definedName name="ViagensN">OFFSET('BASE VIAGENS'!$R$1,1,0,MAX(1,'RESUMO GASTOS'!$R$2),1)</definedName>
    <definedName name="ViagensO">OFFSET('BASE VIAGENS'!$L$1,1,0,MAX(1,'RESUMO GASTOS'!$R$2),1)</definedName>
    <definedName name="ViagensP">OFFSET('BASE VIAGENS'!$M$1,1,0,MAX(1,'RESUMO GASTOS'!$R$2),1)</definedName>
    <definedName name="ViagensQ">OFFSET('BASE VIAGENS'!$N$1,1,0,MAX(1,'RESUMO GASTOS'!$R$2),1)</definedName>
    <definedName name="_xlnm.Print_Area" localSheetId="2">'RESUMO GASTOS'!$B$2:$M$68</definedName>
  </definedNames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4">
    <numFmt numFmtId="164" formatCode="0.0"/>
    <numFmt numFmtId="165" formatCode="&quot;R$ &quot;#,##0.00;[RED]&quot;-R$ &quot;#,##0.00"/>
    <numFmt numFmtId="166" formatCode="dd/mm/yyyy"/>
    <numFmt numFmtId="167" formatCode="dd\/mm\/yy"/>
  </numFmts>
  <fonts count="24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Arial"/>
      <charset val="1"/>
      <family val="2"/>
      <color theme="1"/>
      <sz val="9"/>
    </font>
    <font>
      <name val="Arial"/>
      <charset val="1"/>
      <family val="2"/>
      <color theme="1"/>
      <sz val="10"/>
    </font>
    <font>
      <name val="Calibri"/>
      <charset val="1"/>
      <family val="2"/>
      <b val="1"/>
      <color theme="1"/>
      <sz val="24"/>
    </font>
    <font>
      <name val="Arial"/>
      <charset val="1"/>
      <family val="2"/>
      <color theme="1"/>
      <sz val="18"/>
      <u val="single"/>
    </font>
    <font>
      <name val="Arial"/>
      <charset val="1"/>
      <family val="2"/>
      <b val="1"/>
      <color theme="1"/>
      <sz val="14"/>
    </font>
    <font>
      <name val="Arial"/>
      <charset val="1"/>
      <family val="2"/>
      <b val="1"/>
      <color theme="1"/>
      <sz val="12"/>
    </font>
    <font>
      <name val="Calibri"/>
      <charset val="1"/>
      <family val="2"/>
      <b val="1"/>
      <color rgb="FF000000"/>
      <sz val="14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color rgb="FF000000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b val="1"/>
      <color rgb="FF000000"/>
      <sz val="12"/>
    </font>
    <font>
      <name val="Arial"/>
      <charset val="1"/>
      <family val="2"/>
      <b val="1"/>
      <color theme="1"/>
      <sz val="10"/>
    </font>
    <font>
      <name val="Calibri"/>
      <charset val="1"/>
      <family val="2"/>
      <color theme="1"/>
      <sz val="11"/>
    </font>
    <font>
      <name val="Calibri"/>
      <charset val="1"/>
      <family val="2"/>
      <b val="1"/>
      <color rgb="FF000000"/>
      <sz val="10"/>
    </font>
    <font>
      <name val="Calibri"/>
      <charset val="1"/>
      <family val="2"/>
      <color rgb="FF000000"/>
      <sz val="10"/>
    </font>
    <font>
      <name val="Calibri"/>
      <charset val="1"/>
      <family val="2"/>
      <color rgb="FF000000"/>
      <sz val="12"/>
    </font>
    <font>
      <name val="Arial"/>
      <charset val="1"/>
      <family val="2"/>
      <b val="1"/>
      <color rgb="FF000000"/>
      <sz val="12"/>
    </font>
    <font>
      <b val="1"/>
      <color rgb="FFFFFFFF"/>
    </font>
  </fonts>
  <fills count="12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CCCCCC"/>
      </patternFill>
    </fill>
    <fill>
      <patternFill patternType="solid">
        <fgColor rgb="FFC6E0B4"/>
        <bgColor rgb="FFD8D8D8"/>
      </patternFill>
    </fill>
    <fill>
      <patternFill patternType="solid">
        <fgColor rgb="FFF8CBAD"/>
        <bgColor rgb="FFFFC7CE"/>
      </patternFill>
    </fill>
    <fill>
      <patternFill patternType="solid">
        <fgColor rgb="FFCCCCCC"/>
        <bgColor rgb="FFD8D8D8"/>
      </patternFill>
    </fill>
    <fill>
      <patternFill patternType="solid">
        <fgColor rgb="FFFFFFFF"/>
        <bgColor rgb="FFFFFFCC"/>
      </patternFill>
    </fill>
    <fill>
      <patternFill patternType="solid">
        <fgColor rgb="FFD8D8D8"/>
        <bgColor rgb="FFCCCCCC"/>
      </patternFill>
    </fill>
    <fill>
      <patternFill patternType="solid">
        <fgColor theme="8" tint="0.3999"/>
        <bgColor rgb="FFFF9900"/>
      </patternFill>
    </fill>
    <fill>
      <patternFill patternType="solid">
        <fgColor rgb="FF1F4E78"/>
      </patternFill>
    </fill>
  </fills>
  <borders count="6">
    <border>
      <left/>
      <right/>
      <top/>
      <bottom/>
      <diagonal/>
    </border>
    <border>
      <left/>
      <right/>
      <top style="thin"/>
      <bottom style="medium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medium"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center" vertical="center" wrapText="1"/>
    </xf>
    <xf numFmtId="1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" fontId="6" fillId="0" borderId="0" applyAlignment="1" pivotButton="0" quotePrefix="0" xfId="0">
      <alignment horizontal="general" vertical="center"/>
    </xf>
    <xf numFmtId="0" fontId="7" fillId="0" borderId="1" applyAlignment="1" pivotButton="0" quotePrefix="0" xfId="0">
      <alignment horizontal="center" vertical="center"/>
    </xf>
    <xf numFmtId="4" fontId="8" fillId="0" borderId="0" applyAlignment="1" pivotButton="0" quotePrefix="0" xfId="0">
      <alignment horizontal="center" vertical="center"/>
    </xf>
    <xf numFmtId="167" fontId="9" fillId="3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4" fontId="12" fillId="0" borderId="1" applyAlignment="1" pivotButton="0" quotePrefix="0" xfId="0">
      <alignment horizontal="center" vertical="center" wrapText="1"/>
    </xf>
    <xf numFmtId="4" fontId="12" fillId="4" borderId="3" applyAlignment="1" pivotButton="0" quotePrefix="0" xfId="0">
      <alignment horizontal="center" vertical="center"/>
    </xf>
    <xf numFmtId="4" fontId="13" fillId="0" borderId="0" applyAlignment="1" pivotButton="0" quotePrefix="0" xfId="0">
      <alignment horizontal="general" vertical="center"/>
    </xf>
    <xf numFmtId="4" fontId="12" fillId="5" borderId="3" applyAlignment="1" pivotButton="0" quotePrefix="0" xfId="0">
      <alignment horizontal="center" vertical="center"/>
    </xf>
    <xf numFmtId="4" fontId="12" fillId="6" borderId="1" applyAlignment="1" pivotButton="0" quotePrefix="0" xfId="0">
      <alignment horizontal="center" vertical="center"/>
    </xf>
    <xf numFmtId="4" fontId="14" fillId="0" borderId="4" applyAlignment="1" pivotButton="0" quotePrefix="0" xfId="0">
      <alignment horizontal="center" vertical="center"/>
    </xf>
    <xf numFmtId="4" fontId="12" fillId="0" borderId="4" applyAlignment="1" pivotButton="0" quotePrefix="0" xfId="0">
      <alignment horizontal="center" vertical="center"/>
    </xf>
    <xf numFmtId="4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4" fontId="13" fillId="0" borderId="0" applyAlignment="1" pivotButton="0" quotePrefix="0" xfId="0">
      <alignment horizontal="right" vertical="center"/>
    </xf>
    <xf numFmtId="4" fontId="6" fillId="0" borderId="0" applyAlignment="1" pivotButton="0" quotePrefix="0" xfId="0">
      <alignment horizontal="right" vertical="center"/>
    </xf>
    <xf numFmtId="0" fontId="15" fillId="7" borderId="0" applyAlignment="1" pivotButton="0" quotePrefix="0" xfId="0">
      <alignment horizontal="left" vertical="center"/>
    </xf>
    <xf numFmtId="4" fontId="13" fillId="7" borderId="0" applyAlignment="1" pivotButton="0" quotePrefix="0" xfId="0">
      <alignment horizontal="right" vertical="center"/>
    </xf>
    <xf numFmtId="4" fontId="6" fillId="7" borderId="0" applyAlignment="1" pivotButton="0" quotePrefix="0" xfId="0">
      <alignment horizontal="right" vertical="center"/>
    </xf>
    <xf numFmtId="0" fontId="13" fillId="0" borderId="5" applyAlignment="1" pivotButton="0" quotePrefix="0" xfId="0">
      <alignment horizontal="left" vertical="center"/>
    </xf>
    <xf numFmtId="0" fontId="12" fillId="0" borderId="5" applyAlignment="1" pivotButton="0" quotePrefix="0" xfId="0">
      <alignment horizontal="center" vertical="center"/>
    </xf>
    <xf numFmtId="4" fontId="16" fillId="0" borderId="2" applyAlignment="1" pivotButton="0" quotePrefix="0" xfId="0">
      <alignment horizontal="right" vertical="center"/>
    </xf>
    <xf numFmtId="4" fontId="17" fillId="0" borderId="0" applyAlignment="1" pivotButton="0" quotePrefix="0" xfId="0">
      <alignment horizontal="general" vertical="center"/>
    </xf>
    <xf numFmtId="4" fontId="12" fillId="0" borderId="1" applyAlignment="1" pivotButton="0" quotePrefix="0" xfId="0">
      <alignment horizontal="center" vertical="center"/>
    </xf>
    <xf numFmtId="0" fontId="13" fillId="8" borderId="0" applyAlignment="1" pivotButton="0" quotePrefix="0" xfId="0">
      <alignment horizontal="left" vertical="center"/>
    </xf>
    <xf numFmtId="0" fontId="15" fillId="9" borderId="0" applyAlignment="1" pivotButton="0" quotePrefix="0" xfId="0">
      <alignment horizontal="left" vertical="center"/>
    </xf>
    <xf numFmtId="4" fontId="13" fillId="9" borderId="0" applyAlignment="1" pivotButton="0" quotePrefix="0" xfId="0">
      <alignment horizontal="right" vertical="center"/>
    </xf>
    <xf numFmtId="0" fontId="12" fillId="0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4" fontId="12" fillId="0" borderId="0" applyAlignment="1" pivotButton="0" quotePrefix="0" xfId="0">
      <alignment horizontal="general" vertical="center"/>
    </xf>
    <xf numFmtId="0" fontId="18" fillId="0" borderId="5" applyAlignment="1" pivotButton="0" quotePrefix="0" xfId="0">
      <alignment horizontal="general" vertical="center"/>
    </xf>
    <xf numFmtId="4" fontId="18" fillId="0" borderId="5" applyAlignment="1" pivotButton="0" quotePrefix="0" xfId="0">
      <alignment horizontal="general" vertical="center"/>
    </xf>
    <xf numFmtId="4" fontId="14" fillId="0" borderId="5" applyAlignment="1" pivotButton="0" quotePrefix="0" xfId="0">
      <alignment horizontal="center" vertical="center"/>
    </xf>
    <xf numFmtId="0" fontId="12" fillId="0" borderId="5" applyAlignment="1" pivotButton="0" quotePrefix="0" xfId="0">
      <alignment horizontal="left" vertical="center"/>
    </xf>
    <xf numFmtId="4" fontId="6" fillId="0" borderId="2" applyAlignment="1" pivotButton="0" quotePrefix="0" xfId="0">
      <alignment horizontal="right" vertical="center"/>
    </xf>
    <xf numFmtId="4" fontId="12" fillId="0" borderId="2" applyAlignment="1" pivotButton="0" quotePrefix="0" xfId="0">
      <alignment horizontal="right" vertical="center"/>
    </xf>
    <xf numFmtId="4" fontId="17" fillId="0" borderId="2" applyAlignment="1" pivotButton="0" quotePrefix="0" xfId="0">
      <alignment horizontal="right" vertical="center"/>
    </xf>
    <xf numFmtId="4" fontId="16" fillId="0" borderId="0" applyAlignment="1" pivotButton="0" quotePrefix="0" xfId="0">
      <alignment horizontal="general" vertical="center"/>
    </xf>
    <xf numFmtId="0" fontId="19" fillId="0" borderId="2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4" fontId="21" fillId="0" borderId="0" applyAlignment="1" pivotButton="0" quotePrefix="0" xfId="0">
      <alignment horizontal="general" vertical="center"/>
    </xf>
    <xf numFmtId="0" fontId="16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center"/>
    </xf>
    <xf numFmtId="0" fontId="22" fillId="0" borderId="0" applyAlignment="1" pivotButton="0" quotePrefix="0" xfId="0">
      <alignment horizontal="general" vertical="bottom"/>
    </xf>
    <xf numFmtId="4" fontId="10" fillId="0" borderId="0" applyAlignment="1" pivotButton="0" quotePrefix="0" xfId="0">
      <alignment horizontal="general" vertical="bottom"/>
    </xf>
    <xf numFmtId="0" fontId="10" fillId="10" borderId="1" applyAlignment="1" pivotButton="0" quotePrefix="0" xfId="0">
      <alignment horizontal="general" vertical="center"/>
    </xf>
    <xf numFmtId="4" fontId="10" fillId="10" borderId="1" applyAlignment="1" pivotButton="0" quotePrefix="0" xfId="0">
      <alignment horizontal="general" vertical="center"/>
    </xf>
    <xf numFmtId="0" fontId="0" fillId="0" borderId="4" applyAlignment="1" pivotButton="0" quotePrefix="0" xfId="0">
      <alignment horizontal="general" vertical="bottom"/>
    </xf>
    <xf numFmtId="1" fontId="13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center" vertical="center" wrapText="1"/>
    </xf>
    <xf numFmtId="1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" fontId="6" fillId="0" borderId="0" applyAlignment="1" pivotButton="0" quotePrefix="0" xfId="0">
      <alignment horizontal="general" vertical="center"/>
    </xf>
    <xf numFmtId="0" fontId="7" fillId="0" borderId="1" applyAlignment="1" pivotButton="0" quotePrefix="0" xfId="0">
      <alignment horizontal="center" vertical="center"/>
    </xf>
    <xf numFmtId="0" fontId="0" fillId="0" borderId="1" pivotButton="0" quotePrefix="0" xfId="0"/>
    <xf numFmtId="4" fontId="8" fillId="0" borderId="0" applyAlignment="1" pivotButton="0" quotePrefix="0" xfId="0">
      <alignment horizontal="center" vertical="center"/>
    </xf>
    <xf numFmtId="167" fontId="9" fillId="3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4" fontId="12" fillId="0" borderId="1" applyAlignment="1" pivotButton="0" quotePrefix="0" xfId="0">
      <alignment horizontal="center" vertical="center" wrapText="1"/>
    </xf>
    <xf numFmtId="4" fontId="12" fillId="4" borderId="3" applyAlignment="1" pivotButton="0" quotePrefix="0" xfId="0">
      <alignment horizontal="center" vertical="center"/>
    </xf>
    <xf numFmtId="0" fontId="0" fillId="0" borderId="3" pivotButton="0" quotePrefix="0" xfId="0"/>
    <xf numFmtId="4" fontId="13" fillId="0" borderId="0" applyAlignment="1" pivotButton="0" quotePrefix="0" xfId="0">
      <alignment horizontal="general" vertical="center"/>
    </xf>
    <xf numFmtId="4" fontId="12" fillId="5" borderId="3" applyAlignment="1" pivotButton="0" quotePrefix="0" xfId="0">
      <alignment horizontal="center" vertical="center"/>
    </xf>
    <xf numFmtId="4" fontId="12" fillId="6" borderId="1" applyAlignment="1" pivotButton="0" quotePrefix="0" xfId="0">
      <alignment horizontal="center" vertical="center"/>
    </xf>
    <xf numFmtId="0" fontId="0" fillId="0" borderId="4" pivotButton="0" quotePrefix="0" xfId="0"/>
    <xf numFmtId="4" fontId="14" fillId="0" borderId="4" applyAlignment="1" pivotButton="0" quotePrefix="0" xfId="0">
      <alignment horizontal="center" vertical="center"/>
    </xf>
    <xf numFmtId="4" fontId="12" fillId="0" borderId="4" applyAlignment="1" pivotButton="0" quotePrefix="0" xfId="0">
      <alignment horizontal="center" vertical="center"/>
    </xf>
    <xf numFmtId="4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4" fontId="13" fillId="0" borderId="0" applyAlignment="1" pivotButton="0" quotePrefix="0" xfId="0">
      <alignment horizontal="right" vertical="center"/>
    </xf>
    <xf numFmtId="4" fontId="6" fillId="0" borderId="0" applyAlignment="1" pivotButton="0" quotePrefix="0" xfId="0">
      <alignment horizontal="right" vertical="center"/>
    </xf>
    <xf numFmtId="0" fontId="15" fillId="7" borderId="0" applyAlignment="1" pivotButton="0" quotePrefix="0" xfId="0">
      <alignment horizontal="left" vertical="center"/>
    </xf>
    <xf numFmtId="4" fontId="13" fillId="7" borderId="0" applyAlignment="1" pivotButton="0" quotePrefix="0" xfId="0">
      <alignment horizontal="right" vertical="center"/>
    </xf>
    <xf numFmtId="4" fontId="6" fillId="7" borderId="0" applyAlignment="1" pivotButton="0" quotePrefix="0" xfId="0">
      <alignment horizontal="right" vertical="center"/>
    </xf>
    <xf numFmtId="0" fontId="13" fillId="0" borderId="5" applyAlignment="1" pivotButton="0" quotePrefix="0" xfId="0">
      <alignment horizontal="left" vertical="center"/>
    </xf>
    <xf numFmtId="0" fontId="12" fillId="0" borderId="5" applyAlignment="1" pivotButton="0" quotePrefix="0" xfId="0">
      <alignment horizontal="center" vertical="center"/>
    </xf>
    <xf numFmtId="4" fontId="16" fillId="0" borderId="2" applyAlignment="1" pivotButton="0" quotePrefix="0" xfId="0">
      <alignment horizontal="right" vertical="center"/>
    </xf>
    <xf numFmtId="4" fontId="17" fillId="0" borderId="0" applyAlignment="1" pivotButton="0" quotePrefix="0" xfId="0">
      <alignment horizontal="general" vertical="center"/>
    </xf>
    <xf numFmtId="4" fontId="12" fillId="0" borderId="1" applyAlignment="1" pivotButton="0" quotePrefix="0" xfId="0">
      <alignment horizontal="center" vertical="center"/>
    </xf>
    <xf numFmtId="0" fontId="13" fillId="8" borderId="0" applyAlignment="1" pivotButton="0" quotePrefix="0" xfId="0">
      <alignment horizontal="left" vertical="center"/>
    </xf>
    <xf numFmtId="0" fontId="15" fillId="9" borderId="0" applyAlignment="1" pivotButton="0" quotePrefix="0" xfId="0">
      <alignment horizontal="left" vertical="center"/>
    </xf>
    <xf numFmtId="4" fontId="13" fillId="9" borderId="0" applyAlignment="1" pivotButton="0" quotePrefix="0" xfId="0">
      <alignment horizontal="right" vertical="center"/>
    </xf>
    <xf numFmtId="0" fontId="12" fillId="0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4" fontId="12" fillId="0" borderId="0" applyAlignment="1" pivotButton="0" quotePrefix="0" xfId="0">
      <alignment horizontal="general" vertical="center"/>
    </xf>
    <xf numFmtId="0" fontId="18" fillId="0" borderId="5" applyAlignment="1" pivotButton="0" quotePrefix="0" xfId="0">
      <alignment horizontal="general" vertical="center"/>
    </xf>
    <xf numFmtId="4" fontId="18" fillId="0" borderId="5" applyAlignment="1" pivotButton="0" quotePrefix="0" xfId="0">
      <alignment horizontal="general" vertical="center"/>
    </xf>
    <xf numFmtId="4" fontId="14" fillId="0" borderId="5" applyAlignment="1" pivotButton="0" quotePrefix="0" xfId="0">
      <alignment horizontal="center" vertical="center"/>
    </xf>
    <xf numFmtId="0" fontId="12" fillId="0" borderId="5" applyAlignment="1" pivotButton="0" quotePrefix="0" xfId="0">
      <alignment horizontal="left" vertical="center"/>
    </xf>
    <xf numFmtId="4" fontId="6" fillId="0" borderId="2" applyAlignment="1" pivotButton="0" quotePrefix="0" xfId="0">
      <alignment horizontal="right" vertical="center"/>
    </xf>
    <xf numFmtId="4" fontId="12" fillId="0" borderId="2" applyAlignment="1" pivotButton="0" quotePrefix="0" xfId="0">
      <alignment horizontal="right" vertical="center"/>
    </xf>
    <xf numFmtId="4" fontId="17" fillId="0" borderId="2" applyAlignment="1" pivotButton="0" quotePrefix="0" xfId="0">
      <alignment horizontal="right" vertical="center"/>
    </xf>
    <xf numFmtId="4" fontId="16" fillId="0" borderId="0" applyAlignment="1" pivotButton="0" quotePrefix="0" xfId="0">
      <alignment horizontal="general" vertical="center"/>
    </xf>
    <xf numFmtId="0" fontId="19" fillId="0" borderId="2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4" fontId="21" fillId="0" borderId="0" applyAlignment="1" pivotButton="0" quotePrefix="0" xfId="0">
      <alignment horizontal="general" vertical="center"/>
    </xf>
    <xf numFmtId="0" fontId="16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center"/>
    </xf>
    <xf numFmtId="0" fontId="22" fillId="0" borderId="0" applyAlignment="1" pivotButton="0" quotePrefix="0" xfId="0">
      <alignment horizontal="general" vertical="bottom"/>
    </xf>
    <xf numFmtId="4" fontId="10" fillId="0" borderId="0" applyAlignment="1" pivotButton="0" quotePrefix="0" xfId="0">
      <alignment horizontal="general" vertical="bottom"/>
    </xf>
    <xf numFmtId="0" fontId="10" fillId="10" borderId="1" applyAlignment="1" pivotButton="0" quotePrefix="0" xfId="0">
      <alignment horizontal="general" vertical="center"/>
    </xf>
    <xf numFmtId="4" fontId="10" fillId="10" borderId="1" applyAlignment="1" pivotButton="0" quotePrefix="0" xfId="0">
      <alignment horizontal="general" vertical="center"/>
    </xf>
    <xf numFmtId="0" fontId="0" fillId="0" borderId="4" applyAlignment="1" pivotButton="0" quotePrefix="0" xfId="0">
      <alignment horizontal="general" vertical="bottom"/>
    </xf>
    <xf numFmtId="1" fontId="13" fillId="0" borderId="0" applyAlignment="1" pivotButton="0" quotePrefix="0" xfId="0">
      <alignment horizontal="right" vertical="center"/>
    </xf>
    <xf numFmtId="0" fontId="23" fillId="11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>
          <bgColor rgb="FFFFFFFF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8D8D8"/>
      <rgbColor rgb="FF660066"/>
      <rgbColor rgb="FFFFA767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blBaseViagens" displayName="tblBaseViagens" ref="A1:R112" headerRowCount="1" totalsRowCount="0" totalsRowShown="0">
  <autoFilter ref="A1:R112"/>
  <tableColumns count="18">
    <tableColumn id="1" name="PCDP"/>
    <tableColumn id="2" name="Proposto"/>
    <tableColumn id="3" name="Situação"/>
    <tableColumn id="4" name="Quantidade de diárias"/>
    <tableColumn id="5" name="Diárias (R$)"/>
    <tableColumn id="6" name="Passagens (R$)"/>
    <tableColumn id="7" name="Adicional (R$)"/>
    <tableColumn id="8" name="Descontos (R$)"/>
    <tableColumn id="9" name="Restituição (R$)"/>
    <tableColumn id="10" name="Reembolso (R$)"/>
    <tableColumn id="11" name="Total da viagem (R$)"/>
    <tableColumn id="12" name="Data de início da viagem"/>
    <tableColumn id="13" name="Data de término da viagem"/>
    <tableColumn id="14" name="Data da última verificação"/>
    <tableColumn id="15" name="Descrição do pedido"/>
    <tableColumn id="16" name="Segmento"/>
    <tableColumn id="17" name="Código de débito"/>
    <tableColumn id="18" name="Descontar do curso?"/>
  </tableColumns>
</table>
</file>

<file path=xl/tables/table2.xml><?xml version="1.0" encoding="utf-8"?>
<table xmlns="http://schemas.openxmlformats.org/spreadsheetml/2006/main" id="2" name="tblApoioDebito" displayName="tblApoioDebito" ref="A1:K38" headerRowCount="1" totalsRowCount="0" totalsRowShown="0">
  <autoFilter ref="A1:K38"/>
  <tableColumns count="11">
    <tableColumn id="1" name="Código de débito"/>
    <tableColumn id="2" name="Nome por extenso"/>
    <tableColumn id="3" name="Segmento"/>
    <tableColumn id="4" name="Diárias e passagens distribuído (R$)"/>
    <tableColumn id="5" name="Transportes distribuído (R$)"/>
    <tableColumn id="6" name="Recurso total (R$)"/>
    <tableColumn id="7" name="Transportes agendado (R$)"/>
    <tableColumn id="8" name="Rateio para PPGE (%)"/>
    <tableColumn id="9" name="Rateio para PPGEL (%)"/>
    <tableColumn id="10" name="Rateio para PPGH (%)"/>
    <tableColumn id="11" name="Total utilizado por categoria (R$)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R112"/>
  <sheetViews>
    <sheetView showFormulas="0" showGridLines="0" showRowColHeaders="1" showZeros="1" rightToLeft="0" tabSelected="0" showOutlineSymbols="1" defaultGridColor="1" view="normal" topLeftCell="D1" colorId="64" zoomScale="100" zoomScaleNormal="100" zoomScalePageLayoutView="100" workbookViewId="0">
      <pane ySplit="1" topLeftCell="A2" activePane="bottomLeft" state="frozen"/>
      <selection pane="bottomLeft" activeCell="D1" activeCellId="0" sqref="D1"/>
      <selection pane="bottomLeft" activeCell="A1" activeCellId="0" sqref="A1"/>
    </sheetView>
  </sheetViews>
  <sheetFormatPr baseColWidth="8" defaultColWidth="8.6796875" defaultRowHeight="32" customHeight="0" zeroHeight="0" outlineLevelRow="0"/>
  <cols>
    <col width="15" customWidth="1" style="60" min="1" max="1"/>
    <col width="26" customWidth="1" style="60" min="2" max="2"/>
    <col width="18" customWidth="1" style="60" min="3" max="3"/>
    <col width="12" customWidth="1" style="60" min="4" max="4"/>
    <col width="14" customWidth="1" style="60" min="5" max="10"/>
    <col width="14" customWidth="1" style="60" min="6" max="6"/>
    <col width="14" customWidth="1" style="60" min="7" max="7"/>
    <col width="14" customWidth="1" style="60" min="8" max="8"/>
    <col width="14" customWidth="1" style="60" min="9" max="9"/>
    <col width="14" customWidth="1" style="60" min="10" max="10"/>
    <col width="16" customWidth="1" style="60" min="11" max="11"/>
    <col hidden="1" width="15" customWidth="1" style="60" min="12" max="14"/>
    <col hidden="1" width="15" customWidth="1" style="60" min="13" max="13"/>
    <col hidden="1" width="15" customWidth="1" style="60" min="14" max="14"/>
    <col width="48" customWidth="1" style="60" min="15" max="15"/>
    <col width="17" customWidth="1" style="60" min="16" max="16"/>
    <col width="20" customWidth="1" style="60" min="17" max="17"/>
    <col width="16" customWidth="1" style="60" min="18" max="18"/>
  </cols>
  <sheetData>
    <row r="1" ht="64" customHeight="1" s="61">
      <c r="A1" s="123" t="inlineStr">
        <is>
          <t>PCDP</t>
        </is>
      </c>
      <c r="B1" s="123" t="inlineStr">
        <is>
          <t>Proposto</t>
        </is>
      </c>
      <c r="C1" s="123" t="inlineStr">
        <is>
          <t>Situação</t>
        </is>
      </c>
      <c r="D1" s="123" t="inlineStr">
        <is>
          <t>Quantidade de diárias</t>
        </is>
      </c>
      <c r="E1" s="123" t="inlineStr">
        <is>
          <t>Diárias (R$)</t>
        </is>
      </c>
      <c r="F1" s="123" t="inlineStr">
        <is>
          <t>Passagens (R$)</t>
        </is>
      </c>
      <c r="G1" s="123" t="inlineStr">
        <is>
          <t>Adicional (R$)</t>
        </is>
      </c>
      <c r="H1" s="123" t="inlineStr">
        <is>
          <t>Descontos (R$)</t>
        </is>
      </c>
      <c r="I1" s="123" t="inlineStr">
        <is>
          <t>Restituição (R$)</t>
        </is>
      </c>
      <c r="J1" s="123" t="inlineStr">
        <is>
          <t>Reembolso (R$)</t>
        </is>
      </c>
      <c r="K1" s="123" t="inlineStr">
        <is>
          <t>Total da viagem (R$)</t>
        </is>
      </c>
      <c r="L1" s="123" t="inlineStr">
        <is>
          <t>Data de início da viagem</t>
        </is>
      </c>
      <c r="M1" s="123" t="inlineStr">
        <is>
          <t>Data de término da viagem</t>
        </is>
      </c>
      <c r="N1" s="123" t="inlineStr">
        <is>
          <t>Data da última verificação</t>
        </is>
      </c>
      <c r="O1" s="123" t="inlineStr">
        <is>
          <t>Descrição do pedido</t>
        </is>
      </c>
      <c r="P1" s="123" t="inlineStr">
        <is>
          <t>Segmento</t>
        </is>
      </c>
      <c r="Q1" s="123" t="inlineStr">
        <is>
          <t>Código de débito</t>
        </is>
      </c>
      <c r="R1" s="123" t="inlineStr">
        <is>
          <t>Descontar do curso?</t>
        </is>
      </c>
    </row>
    <row r="2" ht="32" customHeight="1" s="61">
      <c r="A2" s="60" t="n"/>
      <c r="B2" s="60" t="n"/>
      <c r="C2" s="60" t="n"/>
      <c r="D2" s="63" t="n"/>
      <c r="E2" s="64" t="n"/>
      <c r="F2" s="64" t="n"/>
      <c r="G2" s="64" t="n"/>
      <c r="H2" s="64" t="n"/>
      <c r="I2" s="64" t="n"/>
      <c r="J2" s="64" t="n"/>
      <c r="K2" s="64" t="n"/>
      <c r="L2" s="65" t="n"/>
      <c r="M2" s="65" t="n"/>
      <c r="N2" s="65" t="n"/>
      <c r="O2" s="60" t="n"/>
      <c r="P2" s="60" t="n"/>
      <c r="Q2" s="60" t="n"/>
      <c r="R2" s="60" t="n"/>
    </row>
    <row r="3" ht="32" customHeight="1" s="61">
      <c r="A3" s="60" t="n"/>
      <c r="B3" s="60" t="n"/>
      <c r="C3" s="60" t="n"/>
      <c r="D3" s="63" t="n"/>
      <c r="E3" s="64" t="n"/>
      <c r="F3" s="64" t="n"/>
      <c r="G3" s="64" t="n"/>
      <c r="H3" s="64" t="n"/>
      <c r="I3" s="64" t="n"/>
      <c r="J3" s="64" t="n"/>
      <c r="K3" s="64" t="n"/>
      <c r="L3" s="65" t="n"/>
      <c r="M3" s="65" t="n"/>
      <c r="N3" s="65" t="n"/>
      <c r="O3" s="60" t="n"/>
      <c r="P3" s="60" t="n"/>
      <c r="Q3" s="60" t="n"/>
      <c r="R3" s="60" t="n"/>
    </row>
    <row r="4" ht="32" customHeight="1" s="61">
      <c r="A4" s="60" t="n"/>
      <c r="B4" s="60" t="n"/>
      <c r="C4" s="60" t="n"/>
      <c r="D4" s="63" t="n"/>
      <c r="E4" s="64" t="n"/>
      <c r="F4" s="64" t="n"/>
      <c r="G4" s="64" t="n"/>
      <c r="H4" s="64" t="n"/>
      <c r="I4" s="64" t="n"/>
      <c r="J4" s="64" t="n"/>
      <c r="K4" s="64" t="n"/>
      <c r="L4" s="65" t="n"/>
      <c r="M4" s="65" t="n"/>
      <c r="N4" s="65" t="n"/>
      <c r="O4" s="60" t="n"/>
      <c r="P4" s="60" t="n"/>
      <c r="Q4" s="60" t="n"/>
      <c r="R4" s="60" t="n"/>
    </row>
    <row r="5" ht="32" customHeight="1" s="61">
      <c r="A5" s="60" t="n"/>
      <c r="B5" s="60" t="n"/>
      <c r="C5" s="60" t="n"/>
      <c r="D5" s="63" t="n"/>
      <c r="E5" s="64" t="n"/>
      <c r="F5" s="64" t="n"/>
      <c r="G5" s="64" t="n"/>
      <c r="H5" s="64" t="n"/>
      <c r="I5" s="64" t="n"/>
      <c r="J5" s="64" t="n"/>
      <c r="K5" s="64" t="n"/>
      <c r="L5" s="65" t="n"/>
      <c r="M5" s="65" t="n"/>
      <c r="N5" s="65" t="n"/>
      <c r="O5" s="60" t="n"/>
      <c r="P5" s="60" t="n"/>
      <c r="Q5" s="60" t="n"/>
      <c r="R5" s="60" t="n"/>
    </row>
    <row r="6" ht="32" customHeight="1" s="61">
      <c r="A6" s="60" t="n"/>
      <c r="B6" s="60" t="n"/>
      <c r="C6" s="60" t="n"/>
      <c r="D6" s="63" t="n"/>
      <c r="E6" s="64" t="n"/>
      <c r="F6" s="64" t="n"/>
      <c r="G6" s="64" t="n"/>
      <c r="H6" s="64" t="n"/>
      <c r="I6" s="64" t="n"/>
      <c r="J6" s="64" t="n"/>
      <c r="K6" s="64" t="n"/>
      <c r="L6" s="65" t="n"/>
      <c r="M6" s="65" t="n"/>
      <c r="N6" s="65" t="n"/>
      <c r="O6" s="60" t="n"/>
      <c r="P6" s="60" t="n"/>
      <c r="Q6" s="60" t="n"/>
      <c r="R6" s="60" t="n"/>
    </row>
    <row r="7" ht="32" customHeight="1" s="61">
      <c r="A7" s="60" t="n"/>
      <c r="B7" s="60" t="n"/>
      <c r="C7" s="60" t="n"/>
      <c r="D7" s="63" t="n"/>
      <c r="E7" s="64" t="n"/>
      <c r="F7" s="64" t="n"/>
      <c r="G7" s="64" t="n"/>
      <c r="H7" s="64" t="n"/>
      <c r="I7" s="64" t="n"/>
      <c r="J7" s="64" t="n"/>
      <c r="K7" s="64" t="n"/>
      <c r="L7" s="65" t="n"/>
      <c r="M7" s="65" t="n"/>
      <c r="N7" s="65" t="n"/>
      <c r="O7" s="60" t="n"/>
      <c r="P7" s="60" t="n"/>
      <c r="Q7" s="60" t="n"/>
      <c r="R7" s="60" t="n"/>
    </row>
    <row r="8" ht="32" customHeight="1" s="61">
      <c r="A8" s="60" t="n"/>
      <c r="B8" s="60" t="n"/>
      <c r="C8" s="60" t="n"/>
      <c r="D8" s="63" t="n"/>
      <c r="E8" s="64" t="n"/>
      <c r="F8" s="64" t="n"/>
      <c r="G8" s="64" t="n"/>
      <c r="H8" s="64" t="n"/>
      <c r="I8" s="64" t="n"/>
      <c r="J8" s="64" t="n"/>
      <c r="K8" s="64" t="n"/>
      <c r="L8" s="65" t="n"/>
      <c r="M8" s="65" t="n"/>
      <c r="N8" s="65" t="n"/>
      <c r="O8" s="60" t="n"/>
      <c r="P8" s="60" t="n"/>
      <c r="Q8" s="60" t="n"/>
      <c r="R8" s="60" t="n"/>
    </row>
    <row r="9" ht="32" customHeight="1" s="61">
      <c r="A9" s="60" t="n"/>
      <c r="B9" s="60" t="n"/>
      <c r="C9" s="60" t="n"/>
      <c r="D9" s="63" t="n"/>
      <c r="E9" s="64" t="n"/>
      <c r="F9" s="64" t="n"/>
      <c r="G9" s="64" t="n"/>
      <c r="H9" s="64" t="n"/>
      <c r="I9" s="64" t="n"/>
      <c r="J9" s="64" t="n"/>
      <c r="K9" s="64" t="n"/>
      <c r="L9" s="65" t="n"/>
      <c r="M9" s="65" t="n"/>
      <c r="N9" s="65" t="n"/>
      <c r="O9" s="60" t="n"/>
      <c r="P9" s="60" t="n"/>
      <c r="Q9" s="60" t="n"/>
      <c r="R9" s="60" t="n"/>
    </row>
    <row r="10" ht="32" customHeight="1" s="61">
      <c r="A10" s="60" t="n"/>
      <c r="B10" s="60" t="n"/>
      <c r="C10" s="60" t="n"/>
      <c r="D10" s="63" t="n"/>
      <c r="E10" s="64" t="n"/>
      <c r="F10" s="64" t="n"/>
      <c r="G10" s="64" t="n"/>
      <c r="H10" s="64" t="n"/>
      <c r="I10" s="64" t="n"/>
      <c r="J10" s="64" t="n"/>
      <c r="K10" s="64" t="n"/>
      <c r="L10" s="65" t="n"/>
      <c r="M10" s="65" t="n"/>
      <c r="N10" s="65" t="n"/>
      <c r="O10" s="60" t="n"/>
      <c r="P10" s="60" t="n"/>
      <c r="Q10" s="60" t="n"/>
      <c r="R10" s="60" t="n"/>
    </row>
    <row r="11" ht="32" customHeight="1" s="61">
      <c r="A11" s="60" t="n"/>
      <c r="B11" s="60" t="n"/>
      <c r="C11" s="60" t="n"/>
      <c r="D11" s="63" t="n"/>
      <c r="E11" s="64" t="n"/>
      <c r="F11" s="64" t="n"/>
      <c r="G11" s="64" t="n"/>
      <c r="H11" s="64" t="n"/>
      <c r="I11" s="64" t="n"/>
      <c r="J11" s="64" t="n"/>
      <c r="K11" s="64" t="n"/>
      <c r="L11" s="65" t="n"/>
      <c r="M11" s="65" t="n"/>
      <c r="N11" s="65" t="n"/>
      <c r="O11" s="60" t="n"/>
      <c r="P11" s="60" t="n"/>
      <c r="Q11" s="60" t="n"/>
      <c r="R11" s="60" t="n"/>
    </row>
    <row r="12" ht="32" customHeight="1" s="61">
      <c r="A12" s="60" t="n"/>
      <c r="B12" s="60" t="n"/>
      <c r="C12" s="60" t="n"/>
      <c r="D12" s="63" t="n"/>
      <c r="E12" s="64" t="n"/>
      <c r="F12" s="64" t="n"/>
      <c r="G12" s="64" t="n"/>
      <c r="H12" s="64" t="n"/>
      <c r="I12" s="64" t="n"/>
      <c r="J12" s="64" t="n"/>
      <c r="K12" s="64" t="n"/>
      <c r="L12" s="65" t="n"/>
      <c r="M12" s="65" t="n"/>
      <c r="N12" s="65" t="n"/>
      <c r="O12" s="60" t="n"/>
      <c r="P12" s="60" t="n"/>
      <c r="Q12" s="60" t="n"/>
      <c r="R12" s="60" t="n"/>
    </row>
    <row r="13" ht="32" customHeight="1" s="61">
      <c r="A13" s="60" t="n"/>
      <c r="B13" s="60" t="n"/>
      <c r="C13" s="60" t="n"/>
      <c r="D13" s="63" t="n"/>
      <c r="E13" s="64" t="n"/>
      <c r="F13" s="64" t="n"/>
      <c r="G13" s="64" t="n"/>
      <c r="H13" s="64" t="n"/>
      <c r="I13" s="64" t="n"/>
      <c r="J13" s="64" t="n"/>
      <c r="K13" s="64" t="n"/>
      <c r="L13" s="65" t="n"/>
      <c r="M13" s="65" t="n"/>
      <c r="N13" s="65" t="n"/>
      <c r="O13" s="60" t="n"/>
      <c r="P13" s="60" t="n"/>
      <c r="Q13" s="60" t="n"/>
      <c r="R13" s="60" t="n"/>
    </row>
    <row r="14" ht="32" customHeight="1" s="61">
      <c r="A14" s="60" t="n"/>
      <c r="B14" s="60" t="n"/>
      <c r="C14" s="60" t="n"/>
      <c r="D14" s="63" t="n"/>
      <c r="E14" s="64" t="n"/>
      <c r="F14" s="64" t="n"/>
      <c r="G14" s="64" t="n"/>
      <c r="H14" s="64" t="n"/>
      <c r="I14" s="64" t="n"/>
      <c r="J14" s="64" t="n"/>
      <c r="K14" s="64" t="n"/>
      <c r="L14" s="65" t="n"/>
      <c r="M14" s="65" t="n"/>
      <c r="N14" s="65" t="n"/>
      <c r="O14" s="60" t="n"/>
      <c r="P14" s="60" t="n"/>
      <c r="Q14" s="60" t="n"/>
      <c r="R14" s="60" t="n"/>
    </row>
    <row r="15" ht="32" customHeight="1" s="61">
      <c r="A15" s="60" t="n"/>
      <c r="B15" s="60" t="n"/>
      <c r="C15" s="60" t="n"/>
      <c r="D15" s="63" t="n"/>
      <c r="E15" s="64" t="n"/>
      <c r="F15" s="64" t="n"/>
      <c r="G15" s="64" t="n"/>
      <c r="H15" s="64" t="n"/>
      <c r="I15" s="64" t="n"/>
      <c r="J15" s="64" t="n"/>
      <c r="K15" s="64" t="n"/>
      <c r="L15" s="65" t="n"/>
      <c r="M15" s="65" t="n"/>
      <c r="N15" s="65" t="n"/>
      <c r="O15" s="60" t="n"/>
      <c r="P15" s="60" t="n"/>
      <c r="Q15" s="60" t="n"/>
      <c r="R15" s="60" t="n"/>
    </row>
    <row r="16" ht="32" customHeight="1" s="61">
      <c r="A16" s="60" t="n"/>
      <c r="B16" s="60" t="n"/>
      <c r="C16" s="60" t="n"/>
      <c r="D16" s="63" t="n"/>
      <c r="E16" s="64" t="n"/>
      <c r="F16" s="64" t="n"/>
      <c r="G16" s="64" t="n"/>
      <c r="H16" s="64" t="n"/>
      <c r="I16" s="64" t="n"/>
      <c r="J16" s="64" t="n"/>
      <c r="K16" s="64" t="n"/>
      <c r="L16" s="65" t="n"/>
      <c r="M16" s="65" t="n"/>
      <c r="N16" s="65" t="n"/>
      <c r="O16" s="60" t="n"/>
      <c r="P16" s="60" t="n"/>
      <c r="Q16" s="60" t="n"/>
      <c r="R16" s="60" t="n"/>
    </row>
    <row r="17" ht="32" customHeight="1" s="61">
      <c r="A17" s="60" t="n"/>
      <c r="B17" s="60" t="n"/>
      <c r="C17" s="60" t="n"/>
      <c r="D17" s="63" t="n"/>
      <c r="E17" s="64" t="n"/>
      <c r="F17" s="64" t="n"/>
      <c r="G17" s="64" t="n"/>
      <c r="H17" s="64" t="n"/>
      <c r="I17" s="64" t="n"/>
      <c r="J17" s="64" t="n"/>
      <c r="K17" s="64" t="n"/>
      <c r="L17" s="65" t="n"/>
      <c r="M17" s="65" t="n"/>
      <c r="N17" s="65" t="n"/>
      <c r="O17" s="60" t="n"/>
      <c r="P17" s="60" t="n"/>
      <c r="Q17" s="60" t="n"/>
      <c r="R17" s="60" t="n"/>
    </row>
    <row r="18" ht="32" customHeight="1" s="61">
      <c r="A18" s="60" t="n"/>
      <c r="B18" s="60" t="n"/>
      <c r="C18" s="60" t="n"/>
      <c r="D18" s="63" t="n"/>
      <c r="E18" s="64" t="n"/>
      <c r="F18" s="64" t="n"/>
      <c r="G18" s="64" t="n"/>
      <c r="H18" s="64" t="n"/>
      <c r="I18" s="64" t="n"/>
      <c r="J18" s="64" t="n"/>
      <c r="K18" s="64" t="n"/>
      <c r="L18" s="65" t="n"/>
      <c r="M18" s="65" t="n"/>
      <c r="N18" s="65" t="n"/>
      <c r="O18" s="60" t="n"/>
      <c r="P18" s="60" t="n"/>
      <c r="Q18" s="60" t="n"/>
      <c r="R18" s="60" t="n"/>
    </row>
    <row r="19" ht="32" customHeight="1" s="61">
      <c r="A19" s="60" t="n"/>
      <c r="B19" s="60" t="n"/>
      <c r="C19" s="60" t="n"/>
      <c r="D19" s="63" t="n"/>
      <c r="E19" s="64" t="n"/>
      <c r="F19" s="64" t="n"/>
      <c r="G19" s="64" t="n"/>
      <c r="H19" s="64" t="n"/>
      <c r="I19" s="64" t="n"/>
      <c r="J19" s="64" t="n"/>
      <c r="K19" s="64" t="n"/>
      <c r="L19" s="65" t="n"/>
      <c r="M19" s="65" t="n"/>
      <c r="N19" s="65" t="n"/>
      <c r="O19" s="60" t="n"/>
      <c r="P19" s="60" t="n"/>
      <c r="Q19" s="60" t="n"/>
      <c r="R19" s="60" t="n"/>
    </row>
    <row r="20" ht="32" customHeight="1" s="61">
      <c r="A20" s="60" t="n"/>
      <c r="B20" s="60" t="n"/>
      <c r="C20" s="60" t="n"/>
      <c r="D20" s="63" t="n"/>
      <c r="E20" s="64" t="n"/>
      <c r="F20" s="64" t="n"/>
      <c r="G20" s="64" t="n"/>
      <c r="H20" s="64" t="n"/>
      <c r="I20" s="64" t="n"/>
      <c r="J20" s="64" t="n"/>
      <c r="K20" s="64" t="n"/>
      <c r="L20" s="65" t="n"/>
      <c r="M20" s="65" t="n"/>
      <c r="N20" s="65" t="n"/>
      <c r="O20" s="60" t="n"/>
      <c r="P20" s="60" t="n"/>
      <c r="Q20" s="60" t="n"/>
      <c r="R20" s="60" t="n"/>
    </row>
    <row r="21" ht="32" customHeight="1" s="61">
      <c r="A21" s="60" t="n"/>
      <c r="B21" s="60" t="n"/>
      <c r="C21" s="60" t="n"/>
      <c r="D21" s="63" t="n"/>
      <c r="E21" s="64" t="n"/>
      <c r="F21" s="64" t="n"/>
      <c r="G21" s="64" t="n"/>
      <c r="H21" s="64" t="n"/>
      <c r="I21" s="64" t="n"/>
      <c r="J21" s="64" t="n"/>
      <c r="K21" s="64" t="n"/>
      <c r="L21" s="65" t="n"/>
      <c r="M21" s="65" t="n"/>
      <c r="N21" s="65" t="n"/>
      <c r="O21" s="60" t="n"/>
      <c r="P21" s="60" t="n"/>
      <c r="Q21" s="60" t="n"/>
      <c r="R21" s="60" t="n"/>
    </row>
    <row r="22" ht="32" customHeight="1" s="61">
      <c r="A22" s="60" t="n"/>
      <c r="B22" s="60" t="n"/>
      <c r="C22" s="60" t="n"/>
      <c r="D22" s="63" t="n"/>
      <c r="E22" s="64" t="n"/>
      <c r="F22" s="64" t="n"/>
      <c r="G22" s="64" t="n"/>
      <c r="H22" s="64" t="n"/>
      <c r="I22" s="64" t="n"/>
      <c r="J22" s="64" t="n"/>
      <c r="K22" s="64" t="n"/>
      <c r="L22" s="65" t="n"/>
      <c r="M22" s="65" t="n"/>
      <c r="N22" s="65" t="n"/>
      <c r="O22" s="60" t="n"/>
      <c r="P22" s="60" t="n"/>
      <c r="Q22" s="60" t="n"/>
      <c r="R22" s="60" t="n"/>
    </row>
    <row r="23" ht="32" customHeight="1" s="61">
      <c r="A23" s="60" t="n"/>
      <c r="B23" s="60" t="n"/>
      <c r="C23" s="60" t="n"/>
      <c r="D23" s="63" t="n"/>
      <c r="E23" s="64" t="n"/>
      <c r="F23" s="64" t="n"/>
      <c r="G23" s="64" t="n"/>
      <c r="H23" s="64" t="n"/>
      <c r="I23" s="64" t="n"/>
      <c r="J23" s="64" t="n"/>
      <c r="K23" s="64" t="n"/>
      <c r="L23" s="65" t="n"/>
      <c r="M23" s="65" t="n"/>
      <c r="N23" s="65" t="n"/>
      <c r="O23" s="60" t="n"/>
      <c r="P23" s="60" t="n"/>
      <c r="Q23" s="60" t="n"/>
      <c r="R23" s="60" t="n"/>
    </row>
    <row r="24" ht="32" customHeight="1" s="61">
      <c r="A24" s="60" t="n"/>
      <c r="B24" s="60" t="n"/>
      <c r="C24" s="60" t="n"/>
      <c r="D24" s="63" t="n"/>
      <c r="E24" s="64" t="n"/>
      <c r="F24" s="64" t="n"/>
      <c r="G24" s="64" t="n"/>
      <c r="H24" s="64" t="n"/>
      <c r="I24" s="64" t="n"/>
      <c r="J24" s="64" t="n"/>
      <c r="K24" s="64" t="n"/>
      <c r="L24" s="65" t="n"/>
      <c r="M24" s="65" t="n"/>
      <c r="N24" s="65" t="n"/>
      <c r="O24" s="60" t="n"/>
      <c r="P24" s="60" t="n"/>
      <c r="Q24" s="60" t="n"/>
      <c r="R24" s="60" t="n"/>
    </row>
    <row r="25" ht="32" customHeight="1" s="61">
      <c r="A25" s="60" t="n"/>
      <c r="B25" s="60" t="n"/>
      <c r="C25" s="60" t="n"/>
      <c r="D25" s="63" t="n"/>
      <c r="E25" s="64" t="n"/>
      <c r="F25" s="64" t="n"/>
      <c r="G25" s="64" t="n"/>
      <c r="H25" s="64" t="n"/>
      <c r="I25" s="64" t="n"/>
      <c r="J25" s="64" t="n"/>
      <c r="K25" s="64" t="n"/>
      <c r="L25" s="65" t="n"/>
      <c r="M25" s="65" t="n"/>
      <c r="N25" s="65" t="n"/>
      <c r="O25" s="60" t="n"/>
      <c r="P25" s="60" t="n"/>
      <c r="Q25" s="60" t="n"/>
      <c r="R25" s="60" t="n"/>
    </row>
    <row r="26" ht="32" customHeight="1" s="61">
      <c r="A26" s="60" t="n"/>
      <c r="B26" s="60" t="n"/>
      <c r="C26" s="60" t="n"/>
      <c r="D26" s="63" t="n"/>
      <c r="E26" s="64" t="n"/>
      <c r="F26" s="64" t="n"/>
      <c r="G26" s="64" t="n"/>
      <c r="H26" s="64" t="n"/>
      <c r="I26" s="64" t="n"/>
      <c r="J26" s="64" t="n"/>
      <c r="K26" s="64" t="n"/>
      <c r="L26" s="65" t="n"/>
      <c r="M26" s="65" t="n"/>
      <c r="N26" s="65" t="n"/>
      <c r="O26" s="60" t="n"/>
      <c r="P26" s="60" t="n"/>
      <c r="Q26" s="60" t="n"/>
      <c r="R26" s="60" t="n"/>
    </row>
    <row r="27" ht="32" customHeight="1" s="61">
      <c r="A27" s="60" t="n"/>
      <c r="B27" s="60" t="n"/>
      <c r="C27" s="60" t="n"/>
      <c r="D27" s="63" t="n"/>
      <c r="E27" s="64" t="n"/>
      <c r="F27" s="64" t="n"/>
      <c r="G27" s="64" t="n"/>
      <c r="H27" s="64" t="n"/>
      <c r="I27" s="64" t="n"/>
      <c r="J27" s="64" t="n"/>
      <c r="K27" s="64" t="n"/>
      <c r="L27" s="65" t="n"/>
      <c r="M27" s="65" t="n"/>
      <c r="N27" s="65" t="n"/>
      <c r="O27" s="60" t="n"/>
      <c r="P27" s="60" t="n"/>
      <c r="Q27" s="60" t="n"/>
      <c r="R27" s="60" t="n"/>
    </row>
    <row r="28" ht="32" customHeight="1" s="61">
      <c r="A28" s="60" t="n"/>
      <c r="B28" s="60" t="n"/>
      <c r="C28" s="60" t="n"/>
      <c r="D28" s="63" t="n"/>
      <c r="E28" s="64" t="n"/>
      <c r="F28" s="64" t="n"/>
      <c r="G28" s="64" t="n"/>
      <c r="H28" s="64" t="n"/>
      <c r="I28" s="64" t="n"/>
      <c r="J28" s="64" t="n"/>
      <c r="K28" s="64" t="n"/>
      <c r="L28" s="65" t="n"/>
      <c r="M28" s="65" t="n"/>
      <c r="N28" s="65" t="n"/>
      <c r="O28" s="60" t="n"/>
      <c r="P28" s="60" t="n"/>
      <c r="Q28" s="60" t="n"/>
      <c r="R28" s="60" t="n"/>
    </row>
    <row r="29" ht="32" customHeight="1" s="61">
      <c r="A29" s="60" t="n"/>
      <c r="B29" s="60" t="n"/>
      <c r="C29" s="60" t="n"/>
      <c r="D29" s="63" t="n"/>
      <c r="E29" s="64" t="n"/>
      <c r="F29" s="64" t="n"/>
      <c r="G29" s="64" t="n"/>
      <c r="H29" s="64" t="n"/>
      <c r="I29" s="64" t="n"/>
      <c r="J29" s="64" t="n"/>
      <c r="K29" s="64" t="n"/>
      <c r="L29" s="65" t="n"/>
      <c r="M29" s="65" t="n"/>
      <c r="N29" s="65" t="n"/>
      <c r="O29" s="60" t="n"/>
      <c r="P29" s="60" t="n"/>
      <c r="Q29" s="60" t="n"/>
      <c r="R29" s="60" t="n"/>
    </row>
    <row r="30" ht="32" customHeight="1" s="61">
      <c r="A30" s="60" t="n"/>
      <c r="B30" s="60" t="n"/>
      <c r="C30" s="60" t="n"/>
      <c r="D30" s="63" t="n"/>
      <c r="E30" s="64" t="n"/>
      <c r="F30" s="64" t="n"/>
      <c r="G30" s="64" t="n"/>
      <c r="H30" s="64" t="n"/>
      <c r="I30" s="64" t="n"/>
      <c r="J30" s="64" t="n"/>
      <c r="K30" s="64" t="n"/>
      <c r="L30" s="65" t="n"/>
      <c r="M30" s="65" t="n"/>
      <c r="N30" s="65" t="n"/>
      <c r="O30" s="60" t="n"/>
      <c r="P30" s="60" t="n"/>
      <c r="Q30" s="60" t="n"/>
      <c r="R30" s="60" t="n"/>
    </row>
    <row r="31" ht="32" customHeight="1" s="61">
      <c r="A31" s="60" t="n"/>
      <c r="B31" s="60" t="n"/>
      <c r="C31" s="60" t="n"/>
      <c r="D31" s="63" t="n"/>
      <c r="E31" s="64" t="n"/>
      <c r="F31" s="64" t="n"/>
      <c r="G31" s="64" t="n"/>
      <c r="H31" s="64" t="n"/>
      <c r="I31" s="64" t="n"/>
      <c r="J31" s="64" t="n"/>
      <c r="K31" s="64" t="n"/>
      <c r="L31" s="65" t="n"/>
      <c r="M31" s="65" t="n"/>
      <c r="N31" s="65" t="n"/>
      <c r="O31" s="60" t="n"/>
      <c r="P31" s="60" t="n"/>
      <c r="Q31" s="60" t="n"/>
      <c r="R31" s="60" t="n"/>
    </row>
    <row r="32" ht="32" customHeight="1" s="61">
      <c r="A32" s="60" t="n"/>
      <c r="B32" s="60" t="n"/>
      <c r="C32" s="60" t="n"/>
      <c r="D32" s="63" t="n"/>
      <c r="E32" s="64" t="n"/>
      <c r="F32" s="64" t="n"/>
      <c r="G32" s="64" t="n"/>
      <c r="H32" s="64" t="n"/>
      <c r="I32" s="64" t="n"/>
      <c r="J32" s="64" t="n"/>
      <c r="K32" s="64" t="n"/>
      <c r="L32" s="65" t="n"/>
      <c r="M32" s="65" t="n"/>
      <c r="N32" s="65" t="n"/>
      <c r="O32" s="60" t="n"/>
      <c r="P32" s="60" t="n"/>
      <c r="Q32" s="60" t="n"/>
      <c r="R32" s="60" t="n"/>
    </row>
    <row r="33" ht="32" customHeight="1" s="61">
      <c r="A33" s="60" t="n"/>
      <c r="B33" s="60" t="n"/>
      <c r="C33" s="60" t="n"/>
      <c r="D33" s="63" t="n"/>
      <c r="E33" s="64" t="n"/>
      <c r="F33" s="64" t="n"/>
      <c r="G33" s="64" t="n"/>
      <c r="H33" s="64" t="n"/>
      <c r="I33" s="64" t="n"/>
      <c r="J33" s="64" t="n"/>
      <c r="K33" s="64" t="n"/>
      <c r="L33" s="65" t="n"/>
      <c r="M33" s="65" t="n"/>
      <c r="N33" s="65" t="n"/>
      <c r="O33" s="60" t="n"/>
      <c r="P33" s="60" t="n"/>
      <c r="Q33" s="60" t="n"/>
      <c r="R33" s="60" t="n"/>
    </row>
    <row r="34" ht="32" customHeight="1" s="61">
      <c r="A34" s="60" t="n"/>
      <c r="B34" s="60" t="n"/>
      <c r="C34" s="60" t="n"/>
      <c r="D34" s="63" t="n"/>
      <c r="E34" s="64" t="n"/>
      <c r="F34" s="64" t="n"/>
      <c r="G34" s="64" t="n"/>
      <c r="H34" s="64" t="n"/>
      <c r="I34" s="64" t="n"/>
      <c r="J34" s="64" t="n"/>
      <c r="K34" s="64" t="n"/>
      <c r="L34" s="65" t="n"/>
      <c r="M34" s="65" t="n"/>
      <c r="N34" s="65" t="n"/>
      <c r="O34" s="60" t="n"/>
      <c r="P34" s="60" t="n"/>
      <c r="Q34" s="60" t="n"/>
      <c r="R34" s="60" t="n"/>
    </row>
    <row r="35" ht="32" customHeight="1" s="61">
      <c r="A35" s="60" t="n"/>
      <c r="B35" s="60" t="n"/>
      <c r="C35" s="60" t="n"/>
      <c r="D35" s="63" t="n"/>
      <c r="E35" s="64" t="n"/>
      <c r="F35" s="64" t="n"/>
      <c r="G35" s="64" t="n"/>
      <c r="H35" s="64" t="n"/>
      <c r="I35" s="64" t="n"/>
      <c r="J35" s="64" t="n"/>
      <c r="K35" s="64" t="n"/>
      <c r="L35" s="65" t="n"/>
      <c r="M35" s="65" t="n"/>
      <c r="N35" s="65" t="n"/>
      <c r="O35" s="60" t="n"/>
      <c r="P35" s="60" t="n"/>
      <c r="Q35" s="60" t="n"/>
      <c r="R35" s="60" t="n"/>
    </row>
    <row r="36" ht="32" customHeight="1" s="61">
      <c r="A36" s="60" t="n"/>
      <c r="B36" s="60" t="n"/>
      <c r="C36" s="60" t="n"/>
      <c r="D36" s="63" t="n"/>
      <c r="E36" s="64" t="n"/>
      <c r="F36" s="64" t="n"/>
      <c r="G36" s="64" t="n"/>
      <c r="H36" s="64" t="n"/>
      <c r="I36" s="64" t="n"/>
      <c r="J36" s="64" t="n"/>
      <c r="K36" s="64" t="n"/>
      <c r="L36" s="65" t="n"/>
      <c r="M36" s="65" t="n"/>
      <c r="N36" s="65" t="n"/>
      <c r="O36" s="60" t="n"/>
      <c r="P36" s="60" t="n"/>
      <c r="Q36" s="60" t="n"/>
      <c r="R36" s="60" t="n"/>
    </row>
    <row r="37" ht="32" customHeight="1" s="61">
      <c r="A37" s="60" t="n"/>
      <c r="B37" s="60" t="n"/>
      <c r="C37" s="60" t="n"/>
      <c r="D37" s="63" t="n"/>
      <c r="E37" s="64" t="n"/>
      <c r="F37" s="64" t="n"/>
      <c r="G37" s="64" t="n"/>
      <c r="H37" s="64" t="n"/>
      <c r="I37" s="64" t="n"/>
      <c r="J37" s="64" t="n"/>
      <c r="K37" s="64" t="n"/>
      <c r="L37" s="65" t="n"/>
      <c r="M37" s="65" t="n"/>
      <c r="N37" s="65" t="n"/>
      <c r="O37" s="60" t="n"/>
      <c r="P37" s="60" t="n"/>
      <c r="Q37" s="60" t="n"/>
      <c r="R37" s="60" t="n"/>
    </row>
    <row r="38" ht="32" customHeight="1" s="61">
      <c r="A38" s="60" t="n"/>
      <c r="B38" s="60" t="n"/>
      <c r="C38" s="60" t="n"/>
      <c r="D38" s="63" t="n"/>
      <c r="E38" s="64" t="n"/>
      <c r="F38" s="64" t="n"/>
      <c r="G38" s="64" t="n"/>
      <c r="H38" s="64" t="n"/>
      <c r="I38" s="64" t="n"/>
      <c r="J38" s="64" t="n"/>
      <c r="K38" s="64" t="n"/>
      <c r="L38" s="65" t="n"/>
      <c r="M38" s="65" t="n"/>
      <c r="N38" s="65" t="n"/>
      <c r="O38" s="60" t="n"/>
      <c r="P38" s="60" t="n"/>
      <c r="Q38" s="60" t="n"/>
      <c r="R38" s="60" t="n"/>
    </row>
    <row r="39" ht="32" customHeight="1" s="61">
      <c r="A39" s="60" t="n"/>
      <c r="B39" s="60" t="n"/>
      <c r="C39" s="60" t="n"/>
      <c r="D39" s="63" t="n"/>
      <c r="E39" s="64" t="n"/>
      <c r="F39" s="64" t="n"/>
      <c r="G39" s="64" t="n"/>
      <c r="H39" s="64" t="n"/>
      <c r="I39" s="64" t="n"/>
      <c r="J39" s="64" t="n"/>
      <c r="K39" s="64" t="n"/>
      <c r="L39" s="65" t="n"/>
      <c r="M39" s="65" t="n"/>
      <c r="N39" s="65" t="n"/>
      <c r="O39" s="60" t="n"/>
      <c r="P39" s="60" t="n"/>
      <c r="Q39" s="60" t="n"/>
      <c r="R39" s="60" t="n"/>
    </row>
    <row r="40" ht="32" customHeight="1" s="61">
      <c r="A40" s="60" t="n"/>
      <c r="B40" s="60" t="n"/>
      <c r="C40" s="60" t="n"/>
      <c r="D40" s="63" t="n"/>
      <c r="E40" s="64" t="n"/>
      <c r="F40" s="64" t="n"/>
      <c r="G40" s="64" t="n"/>
      <c r="H40" s="64" t="n"/>
      <c r="I40" s="64" t="n"/>
      <c r="J40" s="64" t="n"/>
      <c r="K40" s="64" t="n"/>
      <c r="L40" s="65" t="n"/>
      <c r="M40" s="65" t="n"/>
      <c r="N40" s="65" t="n"/>
      <c r="O40" s="60" t="n"/>
      <c r="P40" s="60" t="n"/>
      <c r="Q40" s="60" t="n"/>
      <c r="R40" s="60" t="n"/>
    </row>
    <row r="41" ht="32" customHeight="1" s="61">
      <c r="A41" s="60" t="n"/>
      <c r="B41" s="60" t="n"/>
      <c r="C41" s="60" t="n"/>
      <c r="D41" s="63" t="n"/>
      <c r="E41" s="64" t="n"/>
      <c r="F41" s="64" t="n"/>
      <c r="G41" s="64" t="n"/>
      <c r="H41" s="64" t="n"/>
      <c r="I41" s="64" t="n"/>
      <c r="J41" s="64" t="n"/>
      <c r="K41" s="64" t="n"/>
      <c r="L41" s="65" t="n"/>
      <c r="M41" s="65" t="n"/>
      <c r="N41" s="65" t="n"/>
      <c r="O41" s="60" t="n"/>
      <c r="P41" s="60" t="n"/>
      <c r="Q41" s="60" t="n"/>
      <c r="R41" s="60" t="n"/>
    </row>
    <row r="42" ht="32" customHeight="1" s="61">
      <c r="A42" s="60" t="n"/>
      <c r="B42" s="60" t="n"/>
      <c r="C42" s="60" t="n"/>
      <c r="D42" s="63" t="n"/>
      <c r="E42" s="64" t="n"/>
      <c r="F42" s="64" t="n"/>
      <c r="G42" s="64" t="n"/>
      <c r="H42" s="64" t="n"/>
      <c r="I42" s="64" t="n"/>
      <c r="J42" s="64" t="n"/>
      <c r="K42" s="64" t="n"/>
      <c r="L42" s="65" t="n"/>
      <c r="M42" s="65" t="n"/>
      <c r="N42" s="65" t="n"/>
      <c r="O42" s="60" t="n"/>
      <c r="P42" s="60" t="n"/>
      <c r="Q42" s="60" t="n"/>
      <c r="R42" s="60" t="n"/>
    </row>
    <row r="43" ht="32" customHeight="1" s="61">
      <c r="A43" s="60" t="n"/>
      <c r="B43" s="60" t="n"/>
      <c r="C43" s="60" t="n"/>
      <c r="D43" s="63" t="n"/>
      <c r="E43" s="64" t="n"/>
      <c r="F43" s="64" t="n"/>
      <c r="G43" s="64" t="n"/>
      <c r="H43" s="64" t="n"/>
      <c r="I43" s="64" t="n"/>
      <c r="J43" s="64" t="n"/>
      <c r="K43" s="64" t="n"/>
      <c r="L43" s="65" t="n"/>
      <c r="M43" s="65" t="n"/>
      <c r="N43" s="65" t="n"/>
      <c r="O43" s="60" t="n"/>
      <c r="P43" s="60" t="n"/>
      <c r="Q43" s="60" t="n"/>
      <c r="R43" s="60" t="n"/>
    </row>
    <row r="44" ht="32" customHeight="1" s="61">
      <c r="A44" s="60" t="n"/>
      <c r="B44" s="60" t="n"/>
      <c r="C44" s="60" t="n"/>
      <c r="D44" s="63" t="n"/>
      <c r="E44" s="64" t="n"/>
      <c r="F44" s="64" t="n"/>
      <c r="G44" s="64" t="n"/>
      <c r="H44" s="64" t="n"/>
      <c r="I44" s="64" t="n"/>
      <c r="J44" s="64" t="n"/>
      <c r="K44" s="64" t="n"/>
      <c r="L44" s="65" t="n"/>
      <c r="M44" s="65" t="n"/>
      <c r="N44" s="65" t="n"/>
      <c r="O44" s="60" t="n"/>
      <c r="P44" s="60" t="n"/>
      <c r="Q44" s="60" t="n"/>
      <c r="R44" s="60" t="n"/>
    </row>
    <row r="45" ht="32" customHeight="1" s="61">
      <c r="A45" s="60" t="n"/>
      <c r="B45" s="60" t="n"/>
      <c r="C45" s="60" t="n"/>
      <c r="D45" s="63" t="n"/>
      <c r="E45" s="64" t="n"/>
      <c r="F45" s="64" t="n"/>
      <c r="G45" s="64" t="n"/>
      <c r="H45" s="64" t="n"/>
      <c r="I45" s="64" t="n"/>
      <c r="J45" s="64" t="n"/>
      <c r="K45" s="64" t="n"/>
      <c r="L45" s="65" t="n"/>
      <c r="M45" s="65" t="n"/>
      <c r="N45" s="65" t="n"/>
      <c r="O45" s="60" t="n"/>
      <c r="P45" s="60" t="n"/>
      <c r="Q45" s="60" t="n"/>
      <c r="R45" s="60" t="n"/>
    </row>
    <row r="46" ht="32" customHeight="1" s="61">
      <c r="A46" s="60" t="n"/>
      <c r="B46" s="60" t="n"/>
      <c r="C46" s="60" t="n"/>
      <c r="D46" s="63" t="n"/>
      <c r="E46" s="64" t="n"/>
      <c r="F46" s="64" t="n"/>
      <c r="G46" s="64" t="n"/>
      <c r="H46" s="64" t="n"/>
      <c r="I46" s="64" t="n"/>
      <c r="J46" s="64" t="n"/>
      <c r="K46" s="64" t="n"/>
      <c r="L46" s="65" t="n"/>
      <c r="M46" s="65" t="n"/>
      <c r="N46" s="65" t="n"/>
      <c r="O46" s="60" t="n"/>
      <c r="P46" s="60" t="n"/>
      <c r="Q46" s="60" t="n"/>
      <c r="R46" s="60" t="n"/>
    </row>
    <row r="47" ht="32" customHeight="1" s="61">
      <c r="A47" s="60" t="n"/>
      <c r="B47" s="60" t="n"/>
      <c r="C47" s="60" t="n"/>
      <c r="D47" s="63" t="n"/>
      <c r="E47" s="64" t="n"/>
      <c r="F47" s="64" t="n"/>
      <c r="G47" s="64" t="n"/>
      <c r="H47" s="64" t="n"/>
      <c r="I47" s="64" t="n"/>
      <c r="J47" s="64" t="n"/>
      <c r="K47" s="64" t="n"/>
      <c r="L47" s="65" t="n"/>
      <c r="M47" s="65" t="n"/>
      <c r="N47" s="65" t="n"/>
      <c r="O47" s="60" t="n"/>
      <c r="P47" s="60" t="n"/>
      <c r="Q47" s="60" t="n"/>
      <c r="R47" s="60" t="n"/>
    </row>
    <row r="48" ht="32" customHeight="1" s="61">
      <c r="A48" s="60" t="n"/>
      <c r="B48" s="60" t="n"/>
      <c r="C48" s="60" t="n"/>
      <c r="D48" s="63" t="n"/>
      <c r="E48" s="64" t="n"/>
      <c r="F48" s="64" t="n"/>
      <c r="G48" s="64" t="n"/>
      <c r="H48" s="64" t="n"/>
      <c r="I48" s="64" t="n"/>
      <c r="J48" s="64" t="n"/>
      <c r="K48" s="64" t="n"/>
      <c r="L48" s="65" t="n"/>
      <c r="M48" s="65" t="n"/>
      <c r="N48" s="65" t="n"/>
      <c r="O48" s="60" t="n"/>
      <c r="P48" s="60" t="n"/>
      <c r="Q48" s="60" t="n"/>
      <c r="R48" s="60" t="n"/>
    </row>
    <row r="49" ht="32" customHeight="1" s="61">
      <c r="A49" s="60" t="n"/>
      <c r="B49" s="60" t="n"/>
      <c r="C49" s="60" t="n"/>
      <c r="D49" s="63" t="n"/>
      <c r="E49" s="64" t="n"/>
      <c r="F49" s="64" t="n"/>
      <c r="G49" s="64" t="n"/>
      <c r="H49" s="64" t="n"/>
      <c r="I49" s="64" t="n"/>
      <c r="J49" s="64" t="n"/>
      <c r="K49" s="64" t="n"/>
      <c r="L49" s="65" t="n"/>
      <c r="M49" s="65" t="n"/>
      <c r="N49" s="65" t="n"/>
      <c r="O49" s="60" t="n"/>
      <c r="P49" s="60" t="n"/>
      <c r="Q49" s="60" t="n"/>
      <c r="R49" s="60" t="n"/>
    </row>
    <row r="50" ht="32" customHeight="1" s="61">
      <c r="A50" s="60" t="n"/>
      <c r="B50" s="60" t="n"/>
      <c r="C50" s="60" t="n"/>
      <c r="D50" s="63" t="n"/>
      <c r="E50" s="64" t="n"/>
      <c r="F50" s="64" t="n"/>
      <c r="G50" s="64" t="n"/>
      <c r="H50" s="64" t="n"/>
      <c r="I50" s="64" t="n"/>
      <c r="J50" s="64" t="n"/>
      <c r="K50" s="64" t="n"/>
      <c r="L50" s="65" t="n"/>
      <c r="M50" s="65" t="n"/>
      <c r="N50" s="65" t="n"/>
      <c r="O50" s="60" t="n"/>
      <c r="P50" s="60" t="n"/>
      <c r="Q50" s="60" t="n"/>
      <c r="R50" s="60" t="n"/>
    </row>
    <row r="51" ht="32" customHeight="1" s="61">
      <c r="A51" s="60" t="n"/>
      <c r="B51" s="60" t="n"/>
      <c r="C51" s="60" t="n"/>
      <c r="D51" s="63" t="n"/>
      <c r="E51" s="64" t="n"/>
      <c r="F51" s="64" t="n"/>
      <c r="G51" s="64" t="n"/>
      <c r="H51" s="64" t="n"/>
      <c r="I51" s="64" t="n"/>
      <c r="J51" s="64" t="n"/>
      <c r="K51" s="64" t="n"/>
      <c r="L51" s="65" t="n"/>
      <c r="M51" s="65" t="n"/>
      <c r="N51" s="65" t="n"/>
      <c r="O51" s="60" t="n"/>
      <c r="P51" s="60" t="n"/>
      <c r="Q51" s="60" t="n"/>
      <c r="R51" s="60" t="n"/>
    </row>
    <row r="52" ht="32" customHeight="1" s="61">
      <c r="A52" s="60" t="n"/>
      <c r="B52" s="60" t="n"/>
      <c r="C52" s="60" t="n"/>
      <c r="D52" s="63" t="n"/>
      <c r="E52" s="64" t="n"/>
      <c r="F52" s="64" t="n"/>
      <c r="G52" s="64" t="n"/>
      <c r="H52" s="64" t="n"/>
      <c r="I52" s="64" t="n"/>
      <c r="J52" s="64" t="n"/>
      <c r="K52" s="64" t="n"/>
      <c r="L52" s="65" t="n"/>
      <c r="M52" s="65" t="n"/>
      <c r="N52" s="65" t="n"/>
      <c r="O52" s="60" t="n"/>
      <c r="P52" s="60" t="n"/>
      <c r="Q52" s="60" t="n"/>
      <c r="R52" s="60" t="n"/>
    </row>
    <row r="53" ht="32" customHeight="1" s="61">
      <c r="A53" s="60" t="n"/>
      <c r="B53" s="60" t="n"/>
      <c r="C53" s="60" t="n"/>
      <c r="D53" s="63" t="n"/>
      <c r="E53" s="64" t="n"/>
      <c r="F53" s="64" t="n"/>
      <c r="G53" s="64" t="n"/>
      <c r="H53" s="64" t="n"/>
      <c r="I53" s="64" t="n"/>
      <c r="J53" s="64" t="n"/>
      <c r="K53" s="64" t="n"/>
      <c r="L53" s="65" t="n"/>
      <c r="M53" s="65" t="n"/>
      <c r="N53" s="65" t="n"/>
      <c r="O53" s="60" t="n"/>
      <c r="P53" s="60" t="n"/>
      <c r="Q53" s="60" t="n"/>
      <c r="R53" s="60" t="n"/>
    </row>
    <row r="54" ht="32" customHeight="1" s="61">
      <c r="A54" s="60" t="n"/>
      <c r="B54" s="60" t="n"/>
      <c r="C54" s="60" t="n"/>
      <c r="D54" s="63" t="n"/>
      <c r="E54" s="64" t="n"/>
      <c r="F54" s="64" t="n"/>
      <c r="G54" s="64" t="n"/>
      <c r="H54" s="64" t="n"/>
      <c r="I54" s="64" t="n"/>
      <c r="J54" s="64" t="n"/>
      <c r="K54" s="64" t="n"/>
      <c r="L54" s="65" t="n"/>
      <c r="M54" s="65" t="n"/>
      <c r="N54" s="65" t="n"/>
      <c r="O54" s="60" t="n"/>
      <c r="P54" s="60" t="n"/>
      <c r="Q54" s="60" t="n"/>
      <c r="R54" s="60" t="n"/>
    </row>
    <row r="55" ht="32" customHeight="1" s="61">
      <c r="A55" s="60" t="n"/>
      <c r="B55" s="60" t="n"/>
      <c r="C55" s="60" t="n"/>
      <c r="D55" s="63" t="n"/>
      <c r="E55" s="64" t="n"/>
      <c r="F55" s="64" t="n"/>
      <c r="G55" s="64" t="n"/>
      <c r="H55" s="64" t="n"/>
      <c r="I55" s="64" t="n"/>
      <c r="J55" s="64" t="n"/>
      <c r="K55" s="64" t="n"/>
      <c r="L55" s="65" t="n"/>
      <c r="M55" s="65" t="n"/>
      <c r="N55" s="65" t="n"/>
      <c r="O55" s="60" t="n"/>
      <c r="P55" s="60" t="n"/>
      <c r="Q55" s="60" t="n"/>
      <c r="R55" s="60" t="n"/>
    </row>
    <row r="56" ht="32" customHeight="1" s="61">
      <c r="A56" s="60" t="n"/>
      <c r="B56" s="60" t="n"/>
      <c r="C56" s="60" t="n"/>
      <c r="D56" s="63" t="n"/>
      <c r="E56" s="64" t="n"/>
      <c r="F56" s="64" t="n"/>
      <c r="G56" s="64" t="n"/>
      <c r="H56" s="64" t="n"/>
      <c r="I56" s="64" t="n"/>
      <c r="J56" s="64" t="n"/>
      <c r="K56" s="64" t="n"/>
      <c r="L56" s="65" t="n"/>
      <c r="M56" s="65" t="n"/>
      <c r="N56" s="65" t="n"/>
      <c r="O56" s="60" t="n"/>
      <c r="P56" s="60" t="n"/>
      <c r="Q56" s="60" t="n"/>
      <c r="R56" s="60" t="n"/>
    </row>
    <row r="57" ht="32" customHeight="1" s="61">
      <c r="A57" s="60" t="n"/>
      <c r="B57" s="60" t="n"/>
      <c r="C57" s="60" t="n"/>
      <c r="D57" s="63" t="n"/>
      <c r="E57" s="64" t="n"/>
      <c r="F57" s="64" t="n"/>
      <c r="G57" s="64" t="n"/>
      <c r="H57" s="64" t="n"/>
      <c r="I57" s="64" t="n"/>
      <c r="J57" s="64" t="n"/>
      <c r="K57" s="64" t="n"/>
      <c r="L57" s="65" t="n"/>
      <c r="M57" s="65" t="n"/>
      <c r="N57" s="65" t="n"/>
      <c r="O57" s="60" t="n"/>
      <c r="P57" s="60" t="n"/>
      <c r="Q57" s="60" t="n"/>
      <c r="R57" s="60" t="n"/>
    </row>
    <row r="58" ht="32" customHeight="1" s="61">
      <c r="A58" s="60" t="n"/>
      <c r="B58" s="60" t="n"/>
      <c r="C58" s="60" t="n"/>
      <c r="D58" s="63" t="n"/>
      <c r="E58" s="64" t="n"/>
      <c r="F58" s="64" t="n"/>
      <c r="G58" s="64" t="n"/>
      <c r="H58" s="64" t="n"/>
      <c r="I58" s="64" t="n"/>
      <c r="J58" s="64" t="n"/>
      <c r="K58" s="64" t="n"/>
      <c r="L58" s="65" t="n"/>
      <c r="M58" s="65" t="n"/>
      <c r="N58" s="65" t="n"/>
      <c r="O58" s="60" t="n"/>
      <c r="P58" s="60" t="n"/>
      <c r="Q58" s="60" t="n"/>
      <c r="R58" s="60" t="n"/>
    </row>
    <row r="59" ht="32" customHeight="1" s="61">
      <c r="A59" s="60" t="n"/>
      <c r="B59" s="60" t="n"/>
      <c r="C59" s="60" t="n"/>
      <c r="D59" s="63" t="n"/>
      <c r="E59" s="64" t="n"/>
      <c r="F59" s="64" t="n"/>
      <c r="G59" s="64" t="n"/>
      <c r="H59" s="64" t="n"/>
      <c r="I59" s="64" t="n"/>
      <c r="J59" s="64" t="n"/>
      <c r="K59" s="64" t="n"/>
      <c r="L59" s="65" t="n"/>
      <c r="M59" s="65" t="n"/>
      <c r="N59" s="65" t="n"/>
      <c r="O59" s="60" t="n"/>
      <c r="P59" s="60" t="n"/>
      <c r="Q59" s="60" t="n"/>
      <c r="R59" s="60" t="n"/>
    </row>
    <row r="60" ht="32" customHeight="1" s="61">
      <c r="A60" s="60" t="n"/>
      <c r="B60" s="60" t="n"/>
      <c r="C60" s="60" t="n"/>
      <c r="D60" s="63" t="n"/>
      <c r="E60" s="64" t="n"/>
      <c r="F60" s="64" t="n"/>
      <c r="G60" s="64" t="n"/>
      <c r="H60" s="64" t="n"/>
      <c r="I60" s="64" t="n"/>
      <c r="J60" s="64" t="n"/>
      <c r="K60" s="64" t="n"/>
      <c r="L60" s="65" t="n"/>
      <c r="M60" s="65" t="n"/>
      <c r="N60" s="65" t="n"/>
      <c r="O60" s="60" t="n"/>
      <c r="P60" s="60" t="n"/>
      <c r="Q60" s="60" t="n"/>
      <c r="R60" s="60" t="n"/>
    </row>
    <row r="61" ht="32" customHeight="1" s="61">
      <c r="A61" s="60" t="n"/>
      <c r="B61" s="60" t="n"/>
      <c r="C61" s="60" t="n"/>
      <c r="D61" s="63" t="n"/>
      <c r="E61" s="64" t="n"/>
      <c r="F61" s="64" t="n"/>
      <c r="G61" s="64" t="n"/>
      <c r="H61" s="64" t="n"/>
      <c r="I61" s="64" t="n"/>
      <c r="J61" s="64" t="n"/>
      <c r="K61" s="64" t="n"/>
      <c r="L61" s="65" t="n"/>
      <c r="M61" s="65" t="n"/>
      <c r="N61" s="65" t="n"/>
      <c r="O61" s="60" t="n"/>
      <c r="P61" s="60" t="n"/>
      <c r="Q61" s="60" t="n"/>
      <c r="R61" s="60" t="n"/>
    </row>
    <row r="62" ht="32" customHeight="1" s="61">
      <c r="A62" s="60" t="n"/>
      <c r="B62" s="60" t="n"/>
      <c r="C62" s="60" t="n"/>
      <c r="D62" s="63" t="n"/>
      <c r="E62" s="64" t="n"/>
      <c r="F62" s="64" t="n"/>
      <c r="G62" s="64" t="n"/>
      <c r="H62" s="64" t="n"/>
      <c r="I62" s="64" t="n"/>
      <c r="J62" s="64" t="n"/>
      <c r="K62" s="64" t="n"/>
      <c r="L62" s="65" t="n"/>
      <c r="M62" s="65" t="n"/>
      <c r="N62" s="65" t="n"/>
      <c r="O62" s="60" t="n"/>
      <c r="P62" s="60" t="n"/>
      <c r="Q62" s="60" t="n"/>
      <c r="R62" s="60" t="n"/>
    </row>
    <row r="63" ht="32" customHeight="1" s="61">
      <c r="A63" s="60" t="n"/>
      <c r="B63" s="60" t="n"/>
      <c r="C63" s="60" t="n"/>
      <c r="D63" s="63" t="n"/>
      <c r="E63" s="64" t="n"/>
      <c r="F63" s="64" t="n"/>
      <c r="G63" s="64" t="n"/>
      <c r="H63" s="64" t="n"/>
      <c r="I63" s="64" t="n"/>
      <c r="J63" s="64" t="n"/>
      <c r="K63" s="64" t="n"/>
      <c r="L63" s="65" t="n"/>
      <c r="M63" s="65" t="n"/>
      <c r="N63" s="65" t="n"/>
      <c r="O63" s="60" t="n"/>
      <c r="P63" s="60" t="n"/>
      <c r="Q63" s="60" t="n"/>
      <c r="R63" s="60" t="n"/>
    </row>
    <row r="64" ht="32" customHeight="1" s="61">
      <c r="A64" s="60" t="n"/>
      <c r="B64" s="60" t="n"/>
      <c r="C64" s="60" t="n"/>
      <c r="D64" s="63" t="n"/>
      <c r="E64" s="64" t="n"/>
      <c r="F64" s="64" t="n"/>
      <c r="G64" s="64" t="n"/>
      <c r="H64" s="64" t="n"/>
      <c r="I64" s="64" t="n"/>
      <c r="J64" s="64" t="n"/>
      <c r="K64" s="64" t="n"/>
      <c r="L64" s="65" t="n"/>
      <c r="M64" s="65" t="n"/>
      <c r="N64" s="65" t="n"/>
      <c r="O64" s="60" t="n"/>
      <c r="P64" s="60" t="n"/>
      <c r="Q64" s="60" t="n"/>
      <c r="R64" s="60" t="n"/>
    </row>
    <row r="65" ht="32" customHeight="1" s="61">
      <c r="A65" s="60" t="n"/>
      <c r="B65" s="60" t="n"/>
      <c r="C65" s="60" t="n"/>
      <c r="D65" s="63" t="n"/>
      <c r="E65" s="64" t="n"/>
      <c r="F65" s="64" t="n"/>
      <c r="G65" s="64" t="n"/>
      <c r="H65" s="64" t="n"/>
      <c r="I65" s="64" t="n"/>
      <c r="J65" s="64" t="n"/>
      <c r="K65" s="64" t="n"/>
      <c r="L65" s="65" t="n"/>
      <c r="M65" s="65" t="n"/>
      <c r="N65" s="65" t="n"/>
      <c r="O65" s="60" t="n"/>
      <c r="P65" s="60" t="n"/>
      <c r="Q65" s="60" t="n"/>
      <c r="R65" s="60" t="n"/>
    </row>
    <row r="66" ht="32" customHeight="1" s="61">
      <c r="A66" s="60" t="n"/>
      <c r="B66" s="60" t="n"/>
      <c r="C66" s="60" t="n"/>
      <c r="D66" s="63" t="n"/>
      <c r="E66" s="64" t="n"/>
      <c r="F66" s="64" t="n"/>
      <c r="G66" s="64" t="n"/>
      <c r="H66" s="64" t="n"/>
      <c r="I66" s="64" t="n"/>
      <c r="J66" s="64" t="n"/>
      <c r="K66" s="64" t="n"/>
      <c r="L66" s="65" t="n"/>
      <c r="M66" s="65" t="n"/>
      <c r="N66" s="65" t="n"/>
      <c r="O66" s="60" t="n"/>
      <c r="P66" s="60" t="n"/>
      <c r="Q66" s="60" t="n"/>
      <c r="R66" s="60" t="n"/>
    </row>
    <row r="67" ht="32" customHeight="1" s="61">
      <c r="A67" s="60" t="n"/>
      <c r="B67" s="60" t="n"/>
      <c r="C67" s="60" t="n"/>
      <c r="D67" s="63" t="n"/>
      <c r="E67" s="64" t="n"/>
      <c r="F67" s="64" t="n"/>
      <c r="G67" s="64" t="n"/>
      <c r="H67" s="64" t="n"/>
      <c r="I67" s="64" t="n"/>
      <c r="J67" s="64" t="n"/>
      <c r="K67" s="64" t="n"/>
      <c r="L67" s="65" t="n"/>
      <c r="M67" s="65" t="n"/>
      <c r="N67" s="65" t="n"/>
      <c r="O67" s="60" t="n"/>
      <c r="P67" s="60" t="n"/>
      <c r="Q67" s="60" t="n"/>
      <c r="R67" s="60" t="n"/>
    </row>
    <row r="68" ht="32" customHeight="1" s="61">
      <c r="A68" s="60" t="n"/>
      <c r="B68" s="60" t="n"/>
      <c r="C68" s="60" t="n"/>
      <c r="D68" s="63" t="n"/>
      <c r="E68" s="64" t="n"/>
      <c r="F68" s="64" t="n"/>
      <c r="G68" s="64" t="n"/>
      <c r="H68" s="64" t="n"/>
      <c r="I68" s="64" t="n"/>
      <c r="J68" s="64" t="n"/>
      <c r="K68" s="64" t="n"/>
      <c r="L68" s="65" t="n"/>
      <c r="M68" s="65" t="n"/>
      <c r="N68" s="65" t="n"/>
      <c r="O68" s="60" t="n"/>
      <c r="P68" s="60" t="n"/>
      <c r="Q68" s="60" t="n"/>
      <c r="R68" s="60" t="n"/>
    </row>
    <row r="69" ht="32" customHeight="1" s="61">
      <c r="A69" s="60" t="n"/>
      <c r="B69" s="60" t="n"/>
      <c r="C69" s="60" t="n"/>
      <c r="D69" s="63" t="n"/>
      <c r="E69" s="64" t="n"/>
      <c r="F69" s="64" t="n"/>
      <c r="G69" s="64" t="n"/>
      <c r="H69" s="64" t="n"/>
      <c r="I69" s="64" t="n"/>
      <c r="J69" s="64" t="n"/>
      <c r="K69" s="64" t="n"/>
      <c r="L69" s="65" t="n"/>
      <c r="M69" s="65" t="n"/>
      <c r="N69" s="65" t="n"/>
      <c r="O69" s="60" t="n"/>
      <c r="P69" s="60" t="n"/>
      <c r="Q69" s="60" t="n"/>
      <c r="R69" s="60" t="n"/>
    </row>
    <row r="70" ht="32" customHeight="1" s="61">
      <c r="A70" s="60" t="n"/>
      <c r="B70" s="60" t="n"/>
      <c r="C70" s="60" t="n"/>
      <c r="D70" s="63" t="n"/>
      <c r="E70" s="64" t="n"/>
      <c r="F70" s="64" t="n"/>
      <c r="G70" s="64" t="n"/>
      <c r="H70" s="64" t="n"/>
      <c r="I70" s="64" t="n"/>
      <c r="J70" s="64" t="n"/>
      <c r="K70" s="64" t="n"/>
      <c r="L70" s="65" t="n"/>
      <c r="M70" s="65" t="n"/>
      <c r="N70" s="65" t="n"/>
      <c r="O70" s="60" t="n"/>
      <c r="P70" s="60" t="n"/>
      <c r="Q70" s="60" t="n"/>
      <c r="R70" s="60" t="n"/>
    </row>
    <row r="71" ht="32" customHeight="1" s="61">
      <c r="A71" s="60" t="n"/>
      <c r="B71" s="60" t="n"/>
      <c r="C71" s="60" t="n"/>
      <c r="D71" s="63" t="n"/>
      <c r="E71" s="64" t="n"/>
      <c r="F71" s="64" t="n"/>
      <c r="G71" s="64" t="n"/>
      <c r="H71" s="64" t="n"/>
      <c r="I71" s="64" t="n"/>
      <c r="J71" s="64" t="n"/>
      <c r="K71" s="64" t="n"/>
      <c r="L71" s="65" t="n"/>
      <c r="M71" s="65" t="n"/>
      <c r="N71" s="65" t="n"/>
      <c r="O71" s="60" t="n"/>
      <c r="P71" s="60" t="n"/>
      <c r="Q71" s="60" t="n"/>
      <c r="R71" s="60" t="n"/>
    </row>
    <row r="72" ht="32" customHeight="1" s="61">
      <c r="A72" s="60" t="n"/>
      <c r="B72" s="60" t="n"/>
      <c r="C72" s="60" t="n"/>
      <c r="D72" s="63" t="n"/>
      <c r="E72" s="64" t="n"/>
      <c r="F72" s="64" t="n"/>
      <c r="G72" s="64" t="n"/>
      <c r="H72" s="64" t="n"/>
      <c r="I72" s="64" t="n"/>
      <c r="J72" s="64" t="n"/>
      <c r="K72" s="64" t="n"/>
      <c r="L72" s="65" t="n"/>
      <c r="M72" s="65" t="n"/>
      <c r="N72" s="65" t="n"/>
      <c r="O72" s="60" t="n"/>
      <c r="P72" s="60" t="n"/>
      <c r="Q72" s="60" t="n"/>
      <c r="R72" s="60" t="n"/>
    </row>
    <row r="73" ht="32" customHeight="1" s="61">
      <c r="A73" s="60" t="n"/>
      <c r="B73" s="60" t="n"/>
      <c r="C73" s="60" t="n"/>
      <c r="D73" s="63" t="n"/>
      <c r="E73" s="64" t="n"/>
      <c r="F73" s="64" t="n"/>
      <c r="G73" s="64" t="n"/>
      <c r="H73" s="64" t="n"/>
      <c r="I73" s="64" t="n"/>
      <c r="J73" s="64" t="n"/>
      <c r="K73" s="64" t="n"/>
      <c r="L73" s="65" t="n"/>
      <c r="M73" s="65" t="n"/>
      <c r="N73" s="65" t="n"/>
      <c r="O73" s="60" t="n"/>
      <c r="P73" s="60" t="n"/>
      <c r="Q73" s="60" t="n"/>
      <c r="R73" s="60" t="n"/>
    </row>
    <row r="74" ht="32" customHeight="1" s="61">
      <c r="A74" s="60" t="n"/>
      <c r="B74" s="60" t="n"/>
      <c r="C74" s="60" t="n"/>
      <c r="D74" s="63" t="n"/>
      <c r="E74" s="64" t="n"/>
      <c r="F74" s="64" t="n"/>
      <c r="G74" s="64" t="n"/>
      <c r="H74" s="64" t="n"/>
      <c r="I74" s="64" t="n"/>
      <c r="J74" s="64" t="n"/>
      <c r="K74" s="64" t="n"/>
      <c r="L74" s="65" t="n"/>
      <c r="M74" s="65" t="n"/>
      <c r="N74" s="65" t="n"/>
      <c r="O74" s="60" t="n"/>
      <c r="P74" s="60" t="n"/>
      <c r="Q74" s="60" t="n"/>
      <c r="R74" s="60" t="n"/>
    </row>
    <row r="75" ht="32" customHeight="1" s="61">
      <c r="A75" s="60" t="n"/>
      <c r="B75" s="60" t="n"/>
      <c r="C75" s="60" t="n"/>
      <c r="D75" s="63" t="n"/>
      <c r="E75" s="64" t="n"/>
      <c r="F75" s="64" t="n"/>
      <c r="G75" s="64" t="n"/>
      <c r="H75" s="64" t="n"/>
      <c r="I75" s="64" t="n"/>
      <c r="J75" s="64" t="n"/>
      <c r="K75" s="64" t="n"/>
      <c r="L75" s="65" t="n"/>
      <c r="M75" s="65" t="n"/>
      <c r="N75" s="65" t="n"/>
      <c r="O75" s="60" t="n"/>
      <c r="P75" s="60" t="n"/>
      <c r="Q75" s="60" t="n"/>
      <c r="R75" s="60" t="n"/>
    </row>
    <row r="76" ht="32" customHeight="1" s="61">
      <c r="A76" s="60" t="n"/>
      <c r="B76" s="60" t="n"/>
      <c r="C76" s="60" t="n"/>
      <c r="D76" s="63" t="n"/>
      <c r="E76" s="64" t="n"/>
      <c r="F76" s="64" t="n"/>
      <c r="G76" s="64" t="n"/>
      <c r="H76" s="64" t="n"/>
      <c r="I76" s="64" t="n"/>
      <c r="J76" s="64" t="n"/>
      <c r="K76" s="64" t="n"/>
      <c r="L76" s="65" t="n"/>
      <c r="M76" s="65" t="n"/>
      <c r="N76" s="65" t="n"/>
      <c r="O76" s="60" t="n"/>
      <c r="P76" s="60" t="n"/>
      <c r="Q76" s="60" t="n"/>
      <c r="R76" s="60" t="n"/>
    </row>
    <row r="77" ht="32" customHeight="1" s="61">
      <c r="A77" s="60" t="n"/>
      <c r="B77" s="60" t="n"/>
      <c r="C77" s="60" t="n"/>
      <c r="D77" s="63" t="n"/>
      <c r="E77" s="64" t="n"/>
      <c r="F77" s="64" t="n"/>
      <c r="G77" s="64" t="n"/>
      <c r="H77" s="64" t="n"/>
      <c r="I77" s="64" t="n"/>
      <c r="J77" s="64" t="n"/>
      <c r="K77" s="64" t="n"/>
      <c r="L77" s="65" t="n"/>
      <c r="M77" s="65" t="n"/>
      <c r="N77" s="65" t="n"/>
      <c r="O77" s="60" t="n"/>
      <c r="P77" s="60" t="n"/>
      <c r="Q77" s="60" t="n"/>
      <c r="R77" s="60" t="n"/>
    </row>
    <row r="78" ht="32" customHeight="1" s="61">
      <c r="A78" s="60" t="n"/>
      <c r="B78" s="60" t="n"/>
      <c r="C78" s="60" t="n"/>
      <c r="D78" s="63" t="n"/>
      <c r="E78" s="64" t="n"/>
      <c r="F78" s="64" t="n"/>
      <c r="G78" s="64" t="n"/>
      <c r="H78" s="64" t="n"/>
      <c r="I78" s="64" t="n"/>
      <c r="J78" s="64" t="n"/>
      <c r="K78" s="64" t="n"/>
      <c r="L78" s="65" t="n"/>
      <c r="M78" s="65" t="n"/>
      <c r="N78" s="65" t="n"/>
      <c r="O78" s="60" t="n"/>
      <c r="P78" s="60" t="n"/>
      <c r="Q78" s="60" t="n"/>
      <c r="R78" s="60" t="n"/>
    </row>
    <row r="79" ht="32" customHeight="1" s="61">
      <c r="A79" s="60" t="n"/>
      <c r="B79" s="60" t="n"/>
      <c r="C79" s="60" t="n"/>
      <c r="D79" s="63" t="n"/>
      <c r="E79" s="64" t="n"/>
      <c r="F79" s="64" t="n"/>
      <c r="G79" s="64" t="n"/>
      <c r="H79" s="64" t="n"/>
      <c r="I79" s="64" t="n"/>
      <c r="J79" s="64" t="n"/>
      <c r="K79" s="64" t="n"/>
      <c r="L79" s="65" t="n"/>
      <c r="M79" s="65" t="n"/>
      <c r="N79" s="65" t="n"/>
      <c r="O79" s="60" t="n"/>
      <c r="P79" s="60" t="n"/>
      <c r="Q79" s="60" t="n"/>
      <c r="R79" s="60" t="n"/>
    </row>
    <row r="80" ht="32" customHeight="1" s="61">
      <c r="A80" s="60" t="n"/>
      <c r="B80" s="60" t="n"/>
      <c r="C80" s="60" t="n"/>
      <c r="D80" s="63" t="n"/>
      <c r="E80" s="64" t="n"/>
      <c r="F80" s="64" t="n"/>
      <c r="G80" s="64" t="n"/>
      <c r="H80" s="64" t="n"/>
      <c r="I80" s="64" t="n"/>
      <c r="J80" s="64" t="n"/>
      <c r="K80" s="64" t="n"/>
      <c r="L80" s="65" t="n"/>
      <c r="M80" s="65" t="n"/>
      <c r="N80" s="65" t="n"/>
      <c r="O80" s="60" t="n"/>
      <c r="P80" s="60" t="n"/>
      <c r="Q80" s="60" t="n"/>
      <c r="R80" s="60" t="n"/>
    </row>
    <row r="81" ht="32" customHeight="1" s="61">
      <c r="A81" s="60" t="n"/>
      <c r="B81" s="60" t="n"/>
      <c r="C81" s="60" t="n"/>
      <c r="D81" s="63" t="n"/>
      <c r="E81" s="64" t="n"/>
      <c r="F81" s="64" t="n"/>
      <c r="G81" s="64" t="n"/>
      <c r="H81" s="64" t="n"/>
      <c r="I81" s="64" t="n"/>
      <c r="J81" s="64" t="n"/>
      <c r="K81" s="64" t="n"/>
      <c r="L81" s="65" t="n"/>
      <c r="M81" s="65" t="n"/>
      <c r="N81" s="65" t="n"/>
      <c r="O81" s="60" t="n"/>
      <c r="P81" s="60" t="n"/>
      <c r="Q81" s="60" t="n"/>
      <c r="R81" s="60" t="n"/>
    </row>
    <row r="82" ht="32" customHeight="1" s="61">
      <c r="A82" s="60" t="n"/>
      <c r="B82" s="60" t="n"/>
      <c r="C82" s="60" t="n"/>
      <c r="D82" s="63" t="n"/>
      <c r="E82" s="64" t="n"/>
      <c r="F82" s="64" t="n"/>
      <c r="G82" s="64" t="n"/>
      <c r="H82" s="64" t="n"/>
      <c r="I82" s="64" t="n"/>
      <c r="J82" s="64" t="n"/>
      <c r="K82" s="64" t="n"/>
      <c r="L82" s="65" t="n"/>
      <c r="M82" s="65" t="n"/>
      <c r="N82" s="65" t="n"/>
      <c r="O82" s="60" t="n"/>
      <c r="P82" s="60" t="n"/>
      <c r="Q82" s="60" t="n"/>
      <c r="R82" s="60" t="n"/>
    </row>
    <row r="83" ht="32" customHeight="1" s="61">
      <c r="A83" s="60" t="n"/>
      <c r="B83" s="60" t="n"/>
      <c r="C83" s="60" t="n"/>
      <c r="D83" s="63" t="n"/>
      <c r="E83" s="64" t="n"/>
      <c r="F83" s="64" t="n"/>
      <c r="G83" s="64" t="n"/>
      <c r="H83" s="64" t="n"/>
      <c r="I83" s="64" t="n"/>
      <c r="J83" s="64" t="n"/>
      <c r="K83" s="64" t="n"/>
      <c r="L83" s="65" t="n"/>
      <c r="M83" s="65" t="n"/>
      <c r="N83" s="65" t="n"/>
      <c r="O83" s="60" t="n"/>
      <c r="P83" s="60" t="n"/>
      <c r="Q83" s="60" t="n"/>
      <c r="R83" s="60" t="n"/>
    </row>
    <row r="84" ht="32" customHeight="1" s="61">
      <c r="A84" s="60" t="n"/>
      <c r="B84" s="60" t="n"/>
      <c r="C84" s="60" t="n"/>
      <c r="D84" s="63" t="n"/>
      <c r="E84" s="64" t="n"/>
      <c r="F84" s="64" t="n"/>
      <c r="G84" s="64" t="n"/>
      <c r="H84" s="64" t="n"/>
      <c r="I84" s="64" t="n"/>
      <c r="J84" s="64" t="n"/>
      <c r="K84" s="64" t="n"/>
      <c r="L84" s="65" t="n"/>
      <c r="M84" s="65" t="n"/>
      <c r="N84" s="65" t="n"/>
      <c r="O84" s="60" t="n"/>
      <c r="P84" s="60" t="n"/>
      <c r="Q84" s="60" t="n"/>
      <c r="R84" s="60" t="n"/>
    </row>
    <row r="85" ht="32" customHeight="1" s="61">
      <c r="A85" s="60" t="n"/>
      <c r="B85" s="60" t="n"/>
      <c r="C85" s="60" t="n"/>
      <c r="D85" s="63" t="n"/>
      <c r="E85" s="64" t="n"/>
      <c r="F85" s="64" t="n"/>
      <c r="G85" s="64" t="n"/>
      <c r="H85" s="64" t="n"/>
      <c r="I85" s="64" t="n"/>
      <c r="J85" s="64" t="n"/>
      <c r="K85" s="64" t="n"/>
      <c r="L85" s="65" t="n"/>
      <c r="M85" s="65" t="n"/>
      <c r="N85" s="65" t="n"/>
      <c r="O85" s="60" t="n"/>
      <c r="P85" s="60" t="n"/>
      <c r="Q85" s="60" t="n"/>
      <c r="R85" s="60" t="n"/>
    </row>
    <row r="86" ht="32" customHeight="1" s="61">
      <c r="A86" s="60" t="n"/>
      <c r="B86" s="60" t="n"/>
      <c r="C86" s="60" t="n"/>
      <c r="D86" s="63" t="n"/>
      <c r="E86" s="64" t="n"/>
      <c r="F86" s="64" t="n"/>
      <c r="G86" s="64" t="n"/>
      <c r="H86" s="64" t="n"/>
      <c r="I86" s="64" t="n"/>
      <c r="J86" s="64" t="n"/>
      <c r="K86" s="64" t="n"/>
      <c r="L86" s="65" t="n"/>
      <c r="M86" s="65" t="n"/>
      <c r="N86" s="65" t="n"/>
      <c r="O86" s="60" t="n"/>
      <c r="P86" s="60" t="n"/>
      <c r="Q86" s="60" t="n"/>
      <c r="R86" s="60" t="n"/>
    </row>
    <row r="87" ht="32" customHeight="1" s="61">
      <c r="A87" s="60" t="n"/>
      <c r="B87" s="60" t="n"/>
      <c r="C87" s="60" t="n"/>
      <c r="D87" s="63" t="n"/>
      <c r="E87" s="64" t="n"/>
      <c r="F87" s="64" t="n"/>
      <c r="G87" s="64" t="n"/>
      <c r="H87" s="64" t="n"/>
      <c r="I87" s="64" t="n"/>
      <c r="J87" s="64" t="n"/>
      <c r="K87" s="64" t="n"/>
      <c r="L87" s="65" t="n"/>
      <c r="M87" s="65" t="n"/>
      <c r="N87" s="65" t="n"/>
      <c r="O87" s="60" t="n"/>
      <c r="P87" s="60" t="n"/>
      <c r="Q87" s="60" t="n"/>
      <c r="R87" s="60" t="n"/>
    </row>
    <row r="88" ht="32" customHeight="1" s="61">
      <c r="A88" s="60" t="n"/>
      <c r="B88" s="60" t="n"/>
      <c r="C88" s="60" t="n"/>
      <c r="D88" s="63" t="n"/>
      <c r="E88" s="64" t="n"/>
      <c r="F88" s="64" t="n"/>
      <c r="G88" s="64" t="n"/>
      <c r="H88" s="64" t="n"/>
      <c r="I88" s="64" t="n"/>
      <c r="J88" s="64" t="n"/>
      <c r="K88" s="64" t="n"/>
      <c r="L88" s="65" t="n"/>
      <c r="M88" s="65" t="n"/>
      <c r="N88" s="65" t="n"/>
      <c r="O88" s="60" t="n"/>
      <c r="P88" s="60" t="n"/>
      <c r="Q88" s="60" t="n"/>
      <c r="R88" s="60" t="n"/>
    </row>
    <row r="89" ht="32" customHeight="1" s="61">
      <c r="A89" s="60" t="n"/>
      <c r="B89" s="60" t="n"/>
      <c r="C89" s="60" t="n"/>
      <c r="D89" s="63" t="n"/>
      <c r="E89" s="64" t="n"/>
      <c r="F89" s="64" t="n"/>
      <c r="G89" s="64" t="n"/>
      <c r="H89" s="64" t="n"/>
      <c r="I89" s="64" t="n"/>
      <c r="J89" s="64" t="n"/>
      <c r="K89" s="64" t="n"/>
      <c r="L89" s="65" t="n"/>
      <c r="M89" s="65" t="n"/>
      <c r="N89" s="65" t="n"/>
      <c r="O89" s="60" t="n"/>
      <c r="P89" s="60" t="n"/>
      <c r="Q89" s="60" t="n"/>
      <c r="R89" s="60" t="n"/>
    </row>
    <row r="90" ht="32" customHeight="1" s="61">
      <c r="A90" s="60" t="n"/>
      <c r="B90" s="60" t="n"/>
      <c r="C90" s="60" t="n"/>
      <c r="D90" s="63" t="n"/>
      <c r="E90" s="64" t="n"/>
      <c r="F90" s="64" t="n"/>
      <c r="G90" s="64" t="n"/>
      <c r="H90" s="64" t="n"/>
      <c r="I90" s="64" t="n"/>
      <c r="J90" s="64" t="n"/>
      <c r="K90" s="64" t="n"/>
      <c r="L90" s="65" t="n"/>
      <c r="M90" s="65" t="n"/>
      <c r="N90" s="65" t="n"/>
      <c r="O90" s="60" t="n"/>
      <c r="P90" s="60" t="n"/>
      <c r="Q90" s="60" t="n"/>
      <c r="R90" s="60" t="n"/>
    </row>
    <row r="91" ht="32" customHeight="1" s="61">
      <c r="A91" s="60" t="n"/>
      <c r="B91" s="60" t="n"/>
      <c r="C91" s="60" t="n"/>
      <c r="D91" s="63" t="n"/>
      <c r="E91" s="64" t="n"/>
      <c r="F91" s="64" t="n"/>
      <c r="G91" s="64" t="n"/>
      <c r="H91" s="64" t="n"/>
      <c r="I91" s="64" t="n"/>
      <c r="J91" s="64" t="n"/>
      <c r="K91" s="64" t="n"/>
      <c r="L91" s="65" t="n"/>
      <c r="M91" s="65" t="n"/>
      <c r="N91" s="65" t="n"/>
      <c r="O91" s="60" t="n"/>
      <c r="P91" s="60" t="n"/>
      <c r="Q91" s="60" t="n"/>
      <c r="R91" s="60" t="n"/>
    </row>
    <row r="92" ht="32" customHeight="1" s="61">
      <c r="A92" s="60" t="n"/>
      <c r="B92" s="60" t="n"/>
      <c r="C92" s="60" t="n"/>
      <c r="D92" s="63" t="n"/>
      <c r="E92" s="64" t="n"/>
      <c r="F92" s="64" t="n"/>
      <c r="G92" s="64" t="n"/>
      <c r="H92" s="64" t="n"/>
      <c r="I92" s="64" t="n"/>
      <c r="J92" s="64" t="n"/>
      <c r="K92" s="64" t="n"/>
      <c r="L92" s="65" t="n"/>
      <c r="M92" s="65" t="n"/>
      <c r="N92" s="65" t="n"/>
      <c r="O92" s="60" t="n"/>
      <c r="P92" s="60" t="n"/>
      <c r="Q92" s="60" t="n"/>
      <c r="R92" s="60" t="n"/>
    </row>
    <row r="93" ht="32" customHeight="1" s="61">
      <c r="A93" s="60" t="n"/>
      <c r="B93" s="60" t="n"/>
      <c r="C93" s="60" t="n"/>
      <c r="D93" s="63" t="n"/>
      <c r="E93" s="64" t="n"/>
      <c r="F93" s="64" t="n"/>
      <c r="G93" s="64" t="n"/>
      <c r="H93" s="64" t="n"/>
      <c r="I93" s="64" t="n"/>
      <c r="J93" s="64" t="n"/>
      <c r="K93" s="64" t="n"/>
      <c r="L93" s="65" t="n"/>
      <c r="M93" s="65" t="n"/>
      <c r="N93" s="65" t="n"/>
      <c r="O93" s="60" t="n"/>
      <c r="P93" s="60" t="n"/>
      <c r="Q93" s="60" t="n"/>
      <c r="R93" s="60" t="n"/>
    </row>
    <row r="94" ht="32" customHeight="1" s="61">
      <c r="A94" s="60" t="n"/>
      <c r="B94" s="60" t="n"/>
      <c r="C94" s="60" t="n"/>
      <c r="D94" s="63" t="n"/>
      <c r="E94" s="64" t="n"/>
      <c r="F94" s="64" t="n"/>
      <c r="G94" s="64" t="n"/>
      <c r="H94" s="64" t="n"/>
      <c r="I94" s="64" t="n"/>
      <c r="J94" s="64" t="n"/>
      <c r="K94" s="64" t="n"/>
      <c r="L94" s="65" t="n"/>
      <c r="M94" s="65" t="n"/>
      <c r="N94" s="65" t="n"/>
      <c r="O94" s="60" t="n"/>
      <c r="P94" s="60" t="n"/>
      <c r="Q94" s="60" t="n"/>
      <c r="R94" s="60" t="n"/>
    </row>
    <row r="95" ht="32" customHeight="1" s="61">
      <c r="A95" s="60" t="n"/>
      <c r="B95" s="60" t="n"/>
      <c r="C95" s="60" t="n"/>
      <c r="D95" s="63" t="n"/>
      <c r="E95" s="64" t="n"/>
      <c r="F95" s="64" t="n"/>
      <c r="G95" s="64" t="n"/>
      <c r="H95" s="64" t="n"/>
      <c r="I95" s="64" t="n"/>
      <c r="J95" s="64" t="n"/>
      <c r="K95" s="64" t="n"/>
      <c r="L95" s="65" t="n"/>
      <c r="M95" s="65" t="n"/>
      <c r="N95" s="65" t="n"/>
      <c r="O95" s="60" t="n"/>
      <c r="P95" s="60" t="n"/>
      <c r="Q95" s="60" t="n"/>
      <c r="R95" s="60" t="n"/>
    </row>
    <row r="96" ht="32" customHeight="1" s="61">
      <c r="A96" s="60" t="n"/>
      <c r="B96" s="60" t="n"/>
      <c r="C96" s="60" t="n"/>
      <c r="D96" s="63" t="n"/>
      <c r="E96" s="64" t="n"/>
      <c r="F96" s="64" t="n"/>
      <c r="G96" s="64" t="n"/>
      <c r="H96" s="64" t="n"/>
      <c r="I96" s="64" t="n"/>
      <c r="J96" s="64" t="n"/>
      <c r="K96" s="64" t="n"/>
      <c r="L96" s="65" t="n"/>
      <c r="M96" s="65" t="n"/>
      <c r="N96" s="65" t="n"/>
      <c r="O96" s="60" t="n"/>
      <c r="P96" s="60" t="n"/>
      <c r="Q96" s="60" t="n"/>
      <c r="R96" s="60" t="n"/>
    </row>
    <row r="97" ht="32" customHeight="1" s="61">
      <c r="A97" s="60" t="n"/>
      <c r="B97" s="60" t="n"/>
      <c r="C97" s="60" t="n"/>
      <c r="D97" s="63" t="n"/>
      <c r="E97" s="64" t="n"/>
      <c r="F97" s="64" t="n"/>
      <c r="G97" s="64" t="n"/>
      <c r="H97" s="64" t="n"/>
      <c r="I97" s="64" t="n"/>
      <c r="J97" s="64" t="n"/>
      <c r="K97" s="64" t="n"/>
      <c r="L97" s="65" t="n"/>
      <c r="M97" s="65" t="n"/>
      <c r="N97" s="65" t="n"/>
      <c r="O97" s="60" t="n"/>
      <c r="P97" s="60" t="n"/>
      <c r="Q97" s="60" t="n"/>
      <c r="R97" s="60" t="n"/>
    </row>
    <row r="98" ht="32" customHeight="1" s="61">
      <c r="A98" s="60" t="n"/>
      <c r="B98" s="60" t="n"/>
      <c r="C98" s="60" t="n"/>
      <c r="D98" s="63" t="n"/>
      <c r="E98" s="64" t="n"/>
      <c r="F98" s="64" t="n"/>
      <c r="G98" s="64" t="n"/>
      <c r="H98" s="64" t="n"/>
      <c r="I98" s="64" t="n"/>
      <c r="J98" s="64" t="n"/>
      <c r="K98" s="64" t="n"/>
      <c r="L98" s="65" t="n"/>
      <c r="M98" s="65" t="n"/>
      <c r="N98" s="65" t="n"/>
      <c r="O98" s="60" t="n"/>
      <c r="P98" s="60" t="n"/>
      <c r="Q98" s="60" t="n"/>
      <c r="R98" s="60" t="n"/>
    </row>
    <row r="99" ht="32" customHeight="1" s="61">
      <c r="A99" s="60" t="n"/>
      <c r="B99" s="60" t="n"/>
      <c r="C99" s="60" t="n"/>
      <c r="D99" s="63" t="n"/>
      <c r="E99" s="64" t="n"/>
      <c r="F99" s="64" t="n"/>
      <c r="G99" s="64" t="n"/>
      <c r="H99" s="64" t="n"/>
      <c r="I99" s="64" t="n"/>
      <c r="J99" s="64" t="n"/>
      <c r="K99" s="64" t="n"/>
      <c r="L99" s="65" t="n"/>
      <c r="M99" s="65" t="n"/>
      <c r="N99" s="65" t="n"/>
      <c r="O99" s="60" t="n"/>
      <c r="P99" s="60" t="n"/>
      <c r="Q99" s="60" t="n"/>
      <c r="R99" s="60" t="n"/>
    </row>
    <row r="100" ht="32" customHeight="1" s="61">
      <c r="A100" s="60" t="n"/>
      <c r="B100" s="60" t="n"/>
      <c r="C100" s="60" t="n"/>
      <c r="D100" s="63" t="n"/>
      <c r="E100" s="64" t="n"/>
      <c r="F100" s="64" t="n"/>
      <c r="G100" s="64" t="n"/>
      <c r="H100" s="64" t="n"/>
      <c r="I100" s="64" t="n"/>
      <c r="J100" s="64" t="n"/>
      <c r="K100" s="64" t="n"/>
      <c r="L100" s="65" t="n"/>
      <c r="M100" s="65" t="n"/>
      <c r="N100" s="65" t="n"/>
      <c r="O100" s="60" t="n"/>
      <c r="P100" s="60" t="n"/>
      <c r="Q100" s="60" t="n"/>
      <c r="R100" s="60" t="n"/>
    </row>
    <row r="101" ht="32" customHeight="1" s="61">
      <c r="A101" s="60" t="n"/>
      <c r="B101" s="60" t="n"/>
      <c r="C101" s="60" t="n"/>
      <c r="D101" s="63" t="n"/>
      <c r="E101" s="64" t="n"/>
      <c r="F101" s="64" t="n"/>
      <c r="G101" s="64" t="n"/>
      <c r="H101" s="64" t="n"/>
      <c r="I101" s="64" t="n"/>
      <c r="J101" s="64" t="n"/>
      <c r="K101" s="64" t="n"/>
      <c r="L101" s="65" t="n"/>
      <c r="M101" s="65" t="n"/>
      <c r="N101" s="65" t="n"/>
      <c r="O101" s="60" t="n"/>
      <c r="P101" s="60" t="n"/>
      <c r="Q101" s="60" t="n"/>
      <c r="R101" s="60" t="n"/>
    </row>
    <row r="102" ht="32" customHeight="1" s="61">
      <c r="A102" s="60" t="n"/>
      <c r="B102" s="60" t="n"/>
      <c r="C102" s="60" t="n"/>
      <c r="D102" s="63" t="n"/>
      <c r="E102" s="64" t="n"/>
      <c r="F102" s="64" t="n"/>
      <c r="G102" s="64" t="n"/>
      <c r="H102" s="64" t="n"/>
      <c r="I102" s="64" t="n"/>
      <c r="J102" s="64" t="n"/>
      <c r="K102" s="64" t="n"/>
      <c r="L102" s="65" t="n"/>
      <c r="M102" s="65" t="n"/>
      <c r="N102" s="65" t="n"/>
      <c r="O102" s="60" t="n"/>
      <c r="P102" s="60" t="n"/>
      <c r="Q102" s="60" t="n"/>
      <c r="R102" s="60" t="n"/>
    </row>
    <row r="103" ht="32" customHeight="1" s="61">
      <c r="A103" s="60" t="n"/>
      <c r="B103" s="60" t="n"/>
      <c r="C103" s="60" t="n"/>
      <c r="D103" s="63" t="n"/>
      <c r="E103" s="64" t="n"/>
      <c r="F103" s="64" t="n"/>
      <c r="G103" s="64" t="n"/>
      <c r="H103" s="64" t="n"/>
      <c r="I103" s="64" t="n"/>
      <c r="J103" s="64" t="n"/>
      <c r="K103" s="64" t="n"/>
      <c r="L103" s="65" t="n"/>
      <c r="M103" s="65" t="n"/>
      <c r="N103" s="65" t="n"/>
      <c r="O103" s="60" t="n"/>
      <c r="P103" s="60" t="n"/>
      <c r="Q103" s="60" t="n"/>
      <c r="R103" s="60" t="n"/>
    </row>
    <row r="104" ht="32" customHeight="1" s="61">
      <c r="A104" s="60" t="n"/>
      <c r="B104" s="60" t="n"/>
      <c r="C104" s="60" t="n"/>
      <c r="D104" s="63" t="n"/>
      <c r="E104" s="64" t="n"/>
      <c r="F104" s="64" t="n"/>
      <c r="G104" s="64" t="n"/>
      <c r="H104" s="64" t="n"/>
      <c r="I104" s="64" t="n"/>
      <c r="J104" s="64" t="n"/>
      <c r="K104" s="64" t="n"/>
      <c r="L104" s="65" t="n"/>
      <c r="M104" s="65" t="n"/>
      <c r="N104" s="65" t="n"/>
      <c r="O104" s="60" t="n"/>
      <c r="P104" s="60" t="n"/>
      <c r="Q104" s="60" t="n"/>
      <c r="R104" s="60" t="n"/>
    </row>
    <row r="105" ht="32" customHeight="1" s="61">
      <c r="A105" s="60" t="n"/>
      <c r="B105" s="60" t="n"/>
      <c r="C105" s="60" t="n"/>
      <c r="D105" s="63" t="n"/>
      <c r="E105" s="64" t="n"/>
      <c r="F105" s="64" t="n"/>
      <c r="G105" s="64" t="n"/>
      <c r="H105" s="64" t="n"/>
      <c r="I105" s="64" t="n"/>
      <c r="J105" s="64" t="n"/>
      <c r="K105" s="64" t="n"/>
      <c r="L105" s="65" t="n"/>
      <c r="M105" s="65" t="n"/>
      <c r="N105" s="65" t="n"/>
      <c r="O105" s="60" t="n"/>
      <c r="P105" s="60" t="n"/>
      <c r="Q105" s="60" t="n"/>
      <c r="R105" s="60" t="n"/>
    </row>
    <row r="106" ht="32" customHeight="1" s="61">
      <c r="A106" s="60" t="n"/>
      <c r="B106" s="60" t="n"/>
      <c r="C106" s="60" t="n"/>
      <c r="D106" s="63" t="n"/>
      <c r="E106" s="64" t="n"/>
      <c r="F106" s="64" t="n"/>
      <c r="G106" s="64" t="n"/>
      <c r="H106" s="64" t="n"/>
      <c r="I106" s="64" t="n"/>
      <c r="J106" s="64" t="n"/>
      <c r="K106" s="64" t="n"/>
      <c r="L106" s="65" t="n"/>
      <c r="M106" s="65" t="n"/>
      <c r="N106" s="65" t="n"/>
      <c r="O106" s="60" t="n"/>
      <c r="P106" s="60" t="n"/>
      <c r="Q106" s="60" t="n"/>
      <c r="R106" s="60" t="n"/>
    </row>
    <row r="107" ht="32" customHeight="1" s="61">
      <c r="A107" s="60" t="n"/>
      <c r="B107" s="60" t="n"/>
      <c r="C107" s="60" t="n"/>
      <c r="D107" s="63" t="n"/>
      <c r="E107" s="64" t="n"/>
      <c r="F107" s="64" t="n"/>
      <c r="G107" s="64" t="n"/>
      <c r="H107" s="64" t="n"/>
      <c r="I107" s="64" t="n"/>
      <c r="J107" s="64" t="n"/>
      <c r="K107" s="64" t="n"/>
      <c r="L107" s="65" t="n"/>
      <c r="M107" s="65" t="n"/>
      <c r="N107" s="65" t="n"/>
      <c r="O107" s="60" t="n"/>
      <c r="P107" s="60" t="n"/>
      <c r="Q107" s="60" t="n"/>
      <c r="R107" s="60" t="n"/>
    </row>
    <row r="108" ht="32" customHeight="1" s="61">
      <c r="A108" s="60" t="n"/>
      <c r="B108" s="60" t="n"/>
      <c r="C108" s="60" t="n"/>
      <c r="D108" s="63" t="n"/>
      <c r="E108" s="64" t="n"/>
      <c r="F108" s="64" t="n"/>
      <c r="G108" s="64" t="n"/>
      <c r="H108" s="64" t="n"/>
      <c r="I108" s="64" t="n"/>
      <c r="J108" s="64" t="n"/>
      <c r="K108" s="64" t="n"/>
      <c r="L108" s="65" t="n"/>
      <c r="M108" s="65" t="n"/>
      <c r="N108" s="65" t="n"/>
      <c r="O108" s="60" t="n"/>
      <c r="P108" s="60" t="n"/>
      <c r="Q108" s="60" t="n"/>
      <c r="R108" s="60" t="n"/>
    </row>
    <row r="109" ht="32" customHeight="1" s="61">
      <c r="A109" s="60" t="n"/>
      <c r="B109" s="60" t="n"/>
      <c r="C109" s="60" t="n"/>
      <c r="D109" s="63" t="n"/>
      <c r="E109" s="64" t="n"/>
      <c r="F109" s="64" t="n"/>
      <c r="G109" s="64" t="n"/>
      <c r="H109" s="64" t="n"/>
      <c r="I109" s="64" t="n"/>
      <c r="J109" s="64" t="n"/>
      <c r="K109" s="64" t="n"/>
      <c r="L109" s="65" t="n"/>
      <c r="M109" s="65" t="n"/>
      <c r="N109" s="65" t="n"/>
      <c r="O109" s="60" t="n"/>
      <c r="P109" s="60" t="n"/>
      <c r="Q109" s="60" t="n"/>
      <c r="R109" s="60" t="n"/>
    </row>
    <row r="110" ht="32" customHeight="1" s="61">
      <c r="A110" s="60" t="n"/>
      <c r="B110" s="60" t="n"/>
      <c r="C110" s="60" t="n"/>
      <c r="D110" s="63" t="n"/>
      <c r="E110" s="64" t="n"/>
      <c r="F110" s="64" t="n"/>
      <c r="G110" s="64" t="n"/>
      <c r="H110" s="64" t="n"/>
      <c r="I110" s="64" t="n"/>
      <c r="J110" s="64" t="n"/>
      <c r="K110" s="64" t="n"/>
      <c r="L110" s="65" t="n"/>
      <c r="M110" s="65" t="n"/>
      <c r="N110" s="65" t="n"/>
      <c r="O110" s="60" t="n"/>
      <c r="P110" s="60" t="n"/>
      <c r="Q110" s="60" t="n"/>
      <c r="R110" s="60" t="n"/>
    </row>
    <row r="111" ht="32" customHeight="1" s="61">
      <c r="A111" s="60" t="n"/>
      <c r="B111" s="60" t="n"/>
      <c r="C111" s="60" t="n"/>
      <c r="D111" s="63" t="n"/>
      <c r="E111" s="64" t="n"/>
      <c r="F111" s="64" t="n"/>
      <c r="G111" s="64" t="n"/>
      <c r="H111" s="64" t="n"/>
      <c r="I111" s="64" t="n"/>
      <c r="J111" s="64" t="n"/>
      <c r="K111" s="64" t="n"/>
      <c r="L111" s="65" t="n"/>
      <c r="M111" s="65" t="n"/>
      <c r="N111" s="65" t="n"/>
      <c r="O111" s="60" t="n"/>
      <c r="P111" s="60" t="n"/>
      <c r="Q111" s="60" t="n"/>
      <c r="R111" s="60" t="n"/>
    </row>
    <row r="112" ht="32" customHeight="1" s="61">
      <c r="A112" s="60" t="n"/>
      <c r="B112" s="60" t="n"/>
      <c r="C112" s="60" t="n"/>
      <c r="D112" s="63" t="n"/>
      <c r="E112" s="64" t="n"/>
      <c r="F112" s="64" t="n"/>
      <c r="G112" s="64" t="n"/>
      <c r="H112" s="64" t="n"/>
      <c r="I112" s="64" t="n"/>
      <c r="J112" s="64" t="n"/>
      <c r="K112" s="64" t="n"/>
      <c r="L112" s="65" t="n"/>
      <c r="M112" s="65" t="n"/>
      <c r="N112" s="65" t="n"/>
      <c r="O112" s="60" t="n"/>
      <c r="P112" s="60" t="n"/>
      <c r="Q112" s="60" t="n"/>
      <c r="R112" s="60" t="n"/>
    </row>
  </sheetData>
  <conditionalFormatting sqref="A2:R1048576">
    <cfRule type="expression" priority="1" dxfId="7" stopIfTrue="1">
      <formula>AND($C2="Cancelada",$R2="",$A2&lt;&gt;"")</formula>
    </cfRule>
    <cfRule type="expression" priority="2" dxfId="8" stopIfTrue="1">
      <formula>AND($A2&lt;&gt;"",$P2="")</formula>
    </cfRule>
  </conditionalFormatting>
  <dataValidations count="2">
    <dataValidation sqref="Q2:Q1048576" showDropDown="0" showInputMessage="1" showErrorMessage="1" allowBlank="1" errorTitle="Código de débito inválido" error="Selecione um código existente na worksheet APOIO." promptTitle="Classificação da PCDP" prompt="Escolha o curso, programa ou setor que receberá o débito." type="list" errorStyle="stop" operator="between">
      <formula1>=CodigosDebito</formula1>
      <formula2>0</formula2>
    </dataValidation>
    <dataValidation sqref="R2:R1112" showDropDown="0" showInputMessage="0" showErrorMessage="1" allowBlank="1" errorTitle="Decisão inválida" error="Selecione Sim ou Não." type="list" errorStyle="stop" operator="between">
      <formula1>"Sim,Não"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37"/>
  <sheetViews>
    <sheetView showFormulas="0" showGridLines="0" showRowColHeaders="1" showZeros="1" rightToLeft="0" tabSelected="0" showOutlineSymbols="1" defaultGridColor="1" view="normal" topLeftCell="C1" colorId="64" zoomScale="100" zoomScaleNormal="100" zoomScalePageLayoutView="100" workbookViewId="0">
      <pane ySplit="1" topLeftCell="A2" activePane="bottomLeft" state="frozen"/>
      <selection pane="bottomLeft" activeCell="C1" activeCellId="0" sqref="C1"/>
      <selection pane="bottomLeft" activeCell="M38" activeCellId="0" sqref="M38"/>
    </sheetView>
  </sheetViews>
  <sheetFormatPr baseColWidth="8" defaultColWidth="8.6796875" defaultRowHeight="32" customHeight="0" zeroHeight="0" outlineLevelRow="0"/>
  <cols>
    <col width="20" customWidth="1" style="60" min="1" max="1"/>
    <col width="26" customWidth="1" style="60" min="2" max="2"/>
    <col width="16" customWidth="1" style="60" min="3" max="6"/>
    <col width="16" customWidth="1" style="60" min="4" max="4"/>
    <col width="16" customWidth="1" style="60" min="5" max="5"/>
    <col width="16" customWidth="1" style="60" min="6" max="6"/>
    <col width="14" customWidth="1" style="60" min="7" max="7"/>
    <col width="12" customWidth="1" style="60" min="8" max="8"/>
    <col width="12" customWidth="1" style="60" min="9" max="9"/>
    <col width="12" customWidth="1" style="60" min="10" max="10"/>
    <col width="18" customWidth="1" style="60" min="11" max="11"/>
  </cols>
  <sheetData>
    <row r="1" ht="64" customHeight="1" s="61">
      <c r="A1" s="123" t="inlineStr">
        <is>
          <t>Código de débito</t>
        </is>
      </c>
      <c r="B1" s="123" t="inlineStr">
        <is>
          <t>Nome por extenso</t>
        </is>
      </c>
      <c r="C1" s="123" t="inlineStr">
        <is>
          <t>Segmento</t>
        </is>
      </c>
      <c r="D1" s="123" t="inlineStr">
        <is>
          <t>Diárias e passagens distribuído (R$)</t>
        </is>
      </c>
      <c r="E1" s="123" t="inlineStr">
        <is>
          <t>Transportes distribuído (R$)</t>
        </is>
      </c>
      <c r="F1" s="123" t="inlineStr">
        <is>
          <t>Recurso total (R$)</t>
        </is>
      </c>
      <c r="G1" s="123" t="inlineStr">
        <is>
          <t>Transportes agendado (R$)</t>
        </is>
      </c>
      <c r="H1" s="123" t="inlineStr">
        <is>
          <t>Rateio para PPGE (%)</t>
        </is>
      </c>
      <c r="I1" s="123" t="inlineStr">
        <is>
          <t>Rateio para PPGEL (%)</t>
        </is>
      </c>
      <c r="J1" s="123" t="inlineStr">
        <is>
          <t>Rateio para PPGH (%)</t>
        </is>
      </c>
      <c r="K1" s="123" t="inlineStr">
        <is>
          <t>Total utilizado por categoria (R$)</t>
        </is>
      </c>
    </row>
    <row r="2" ht="36" customHeight="1" s="61">
      <c r="A2" s="60" t="inlineStr">
        <is>
          <t>ADMINISTRAÇÃO</t>
        </is>
      </c>
      <c r="B2" s="60" t="inlineStr">
        <is>
          <t>Administração</t>
        </is>
      </c>
      <c r="C2" s="60" t="inlineStr">
        <is>
          <t>SEG 1 GRADUAÇÃO</t>
        </is>
      </c>
      <c r="D2" s="64" t="n">
        <v>6000</v>
      </c>
      <c r="E2" s="64" t="n">
        <v>19000</v>
      </c>
      <c r="F2" s="64">
        <f>IF(AND(ISNUMBER(D2),ISNUMBER(E2)),D2+E2,"")</f>
        <v/>
      </c>
      <c r="G2" s="64" t="n">
        <v>8974.68</v>
      </c>
      <c r="H2" s="60" t="n"/>
      <c r="I2" s="60" t="n"/>
      <c r="J2" s="60" t="n"/>
      <c r="K2" s="64">
        <f>IF(A2="","",IF(COUNTIFS(ViagensM,A2,ViagensC,"Cancelada",ViagensN,"")&gt;0,"Pendente",SUMIFS(ViagensK,ViagensM,A2,ViagensC,"&lt;&gt;Cancelada")+SUMIFS(ViagensK,ViagensM,A2,ViagensC,"Cancelada",ViagensN,"Sim")))</f>
        <v/>
      </c>
    </row>
    <row r="3" ht="36" customHeight="1" s="61">
      <c r="A3" s="60" t="inlineStr">
        <is>
          <t>AGRONOMIA</t>
        </is>
      </c>
      <c r="B3" s="60" t="inlineStr">
        <is>
          <t>Agronomia</t>
        </is>
      </c>
      <c r="C3" s="60" t="inlineStr">
        <is>
          <t>SEG 1 GRADUAÇÃO</t>
        </is>
      </c>
      <c r="D3" s="64" t="n">
        <v>5000</v>
      </c>
      <c r="E3" s="64" t="n">
        <v>20000</v>
      </c>
      <c r="F3" s="64">
        <f>IF(AND(ISNUMBER(D3),ISNUMBER(E3)),D3+E3,"")</f>
        <v/>
      </c>
      <c r="G3" s="64" t="n">
        <v>14518.23</v>
      </c>
      <c r="H3" s="60" t="n"/>
      <c r="I3" s="60" t="n"/>
      <c r="J3" s="60" t="n"/>
      <c r="K3" s="64">
        <f>IF(A3="","",IF(COUNTIFS(ViagensM,A3,ViagensC,"Cancelada",ViagensN,"")&gt;0,"Pendente",SUMIFS(ViagensK,ViagensM,A3,ViagensC,"&lt;&gt;Cancelada")+SUMIFS(ViagensK,ViagensM,A3,ViagensC,"Cancelada",ViagensN,"Sim")))</f>
        <v/>
      </c>
    </row>
    <row r="4" ht="36" customHeight="1" s="61">
      <c r="A4" s="60" t="inlineStr">
        <is>
          <t>C COMPUTAÇÃO</t>
        </is>
      </c>
      <c r="B4" s="60" t="inlineStr">
        <is>
          <t>Ciência da Computação</t>
        </is>
      </c>
      <c r="C4" s="60" t="inlineStr">
        <is>
          <t>SEG 1 GRADUAÇÃO</t>
        </is>
      </c>
      <c r="D4" s="64" t="n">
        <v>5000</v>
      </c>
      <c r="E4" s="64" t="n">
        <v>13000</v>
      </c>
      <c r="F4" s="64">
        <f>IF(AND(ISNUMBER(D4),ISNUMBER(E4)),D4+E4,"")</f>
        <v/>
      </c>
      <c r="G4" s="64" t="n">
        <v>0</v>
      </c>
      <c r="H4" s="60" t="n"/>
      <c r="I4" s="60" t="n"/>
      <c r="J4" s="60" t="n"/>
      <c r="K4" s="64">
        <f>IF(A4="","",IF(COUNTIFS(ViagensM,A4,ViagensC,"Cancelada",ViagensN,"")&gt;0,"Pendente",SUMIFS(ViagensK,ViagensM,A4,ViagensC,"&lt;&gt;Cancelada")+SUMIFS(ViagensK,ViagensM,A4,ViagensC,"Cancelada",ViagensN,"Sim")))</f>
        <v/>
      </c>
    </row>
    <row r="5" ht="36" customHeight="1" s="61">
      <c r="A5" s="60" t="inlineStr">
        <is>
          <t>C ECONÔMICAS</t>
        </is>
      </c>
      <c r="B5" s="60" t="inlineStr">
        <is>
          <t>Ciências Econômicas</t>
        </is>
      </c>
      <c r="C5" s="60" t="inlineStr">
        <is>
          <t>SEG 1 GRADUAÇÃO</t>
        </is>
      </c>
      <c r="D5" s="64" t="n">
        <v>5000</v>
      </c>
      <c r="E5" s="64" t="n">
        <v>5000</v>
      </c>
      <c r="F5" s="64">
        <f>IF(AND(ISNUMBER(D5),ISNUMBER(E5)),D5+E5,"")</f>
        <v/>
      </c>
      <c r="G5" s="64" t="n">
        <v>0</v>
      </c>
      <c r="H5" s="60" t="n"/>
      <c r="I5" s="60" t="n"/>
      <c r="J5" s="60" t="n"/>
      <c r="K5" s="64">
        <f>IF(A5="","",IF(COUNTIFS(ViagensM,A5,ViagensC,"Cancelada",ViagensN,"")&gt;0,"Pendente",SUMIFS(ViagensK,ViagensM,A5,ViagensC,"&lt;&gt;Cancelada")+SUMIFS(ViagensK,ViagensM,A5,ViagensC,"Cancelada",ViagensN,"Sim")))</f>
        <v/>
      </c>
    </row>
    <row r="6" ht="36" customHeight="1" s="61">
      <c r="A6" s="60" t="inlineStr">
        <is>
          <t>CIÊNCIAS SOCIAIS</t>
        </is>
      </c>
      <c r="B6" s="60" t="inlineStr">
        <is>
          <t>Ciências Sociais</t>
        </is>
      </c>
      <c r="C6" s="60" t="inlineStr">
        <is>
          <t>SEG 1 GRADUAÇÃO</t>
        </is>
      </c>
      <c r="D6" s="64" t="n">
        <v>5000</v>
      </c>
      <c r="E6" s="64" t="n">
        <v>10000</v>
      </c>
      <c r="F6" s="64">
        <f>IF(AND(ISNUMBER(D6),ISNUMBER(E6)),D6+E6,"")</f>
        <v/>
      </c>
      <c r="G6" s="64" t="n">
        <v>0</v>
      </c>
      <c r="H6" s="60" t="n"/>
      <c r="I6" s="60" t="n"/>
      <c r="J6" s="60" t="n"/>
      <c r="K6" s="64">
        <f>IF(A6="","",IF(COUNTIFS(ViagensM,A6,ViagensC,"Cancelada",ViagensN,"")&gt;0,"Pendente",SUMIFS(ViagensK,ViagensM,A6,ViagensC,"&lt;&gt;Cancelada")+SUMIFS(ViagensK,ViagensM,A6,ViagensC,"Cancelada",ViagensN,"Sim")))</f>
        <v/>
      </c>
    </row>
    <row r="7" ht="36" customHeight="1" s="61">
      <c r="A7" s="60" t="inlineStr">
        <is>
          <t>ENFERMAGEM</t>
        </is>
      </c>
      <c r="B7" s="60" t="inlineStr">
        <is>
          <t>Enfermagem</t>
        </is>
      </c>
      <c r="C7" s="60" t="inlineStr">
        <is>
          <t>SEG 1 GRADUAÇÃO</t>
        </is>
      </c>
      <c r="D7" s="64" t="n">
        <v>5000</v>
      </c>
      <c r="E7" s="64" t="n">
        <v>9000</v>
      </c>
      <c r="F7" s="64">
        <f>IF(AND(ISNUMBER(D7),ISNUMBER(E7)),D7+E7,"")</f>
        <v/>
      </c>
      <c r="G7" s="64" t="n">
        <v>846.96</v>
      </c>
      <c r="H7" s="60" t="n"/>
      <c r="I7" s="60" t="n"/>
      <c r="J7" s="60" t="n"/>
      <c r="K7" s="64">
        <f>IF(A7="","",IF(COUNTIFS(ViagensM,A7,ViagensC,"Cancelada",ViagensN,"")&gt;0,"Pendente",SUMIFS(ViagensK,ViagensM,A7,ViagensC,"&lt;&gt;Cancelada")+SUMIFS(ViagensK,ViagensM,A7,ViagensC,"Cancelada",ViagensN,"Sim")))</f>
        <v/>
      </c>
    </row>
    <row r="8" ht="36" customHeight="1" s="61">
      <c r="A8" s="60" t="inlineStr">
        <is>
          <t>ENG AMBIENTAL</t>
        </is>
      </c>
      <c r="B8" s="60" t="inlineStr">
        <is>
          <t>Engenharia Ambiental e Sanitária</t>
        </is>
      </c>
      <c r="C8" s="60" t="inlineStr">
        <is>
          <t>SEG 1 GRADUAÇÃO</t>
        </is>
      </c>
      <c r="D8" s="64" t="n">
        <v>5000</v>
      </c>
      <c r="E8" s="64" t="n">
        <v>10000</v>
      </c>
      <c r="F8" s="64">
        <f>IF(AND(ISNUMBER(D8),ISNUMBER(E8)),D8+E8,"")</f>
        <v/>
      </c>
      <c r="G8" s="64" t="n">
        <v>0</v>
      </c>
      <c r="H8" s="60" t="n"/>
      <c r="I8" s="60" t="n"/>
      <c r="J8" s="60" t="n"/>
      <c r="K8" s="64">
        <f>IF(A8="","",IF(COUNTIFS(ViagensM,A8,ViagensC,"Cancelada",ViagensN,"")&gt;0,"Pendente",SUMIFS(ViagensK,ViagensM,A8,ViagensC,"&lt;&gt;Cancelada")+SUMIFS(ViagensK,ViagensM,A8,ViagensC,"Cancelada",ViagensN,"Sim")))</f>
        <v/>
      </c>
    </row>
    <row r="9" ht="36" customHeight="1" s="61">
      <c r="A9" s="60" t="inlineStr">
        <is>
          <t>ENGENHARIA CIVIL</t>
        </is>
      </c>
      <c r="B9" s="60" t="inlineStr">
        <is>
          <t>Engenharia Civil</t>
        </is>
      </c>
      <c r="C9" s="60" t="inlineStr">
        <is>
          <t>SEG 1 GRADUAÇÃO</t>
        </is>
      </c>
      <c r="D9" s="64" t="n">
        <v>5000</v>
      </c>
      <c r="E9" s="64" t="n">
        <v>5000</v>
      </c>
      <c r="F9" s="64">
        <f>IF(AND(ISNUMBER(D9),ISNUMBER(E9)),D9+E9,"")</f>
        <v/>
      </c>
      <c r="G9" s="64" t="n">
        <v>506.1</v>
      </c>
      <c r="H9" s="60" t="n"/>
      <c r="I9" s="60" t="n"/>
      <c r="J9" s="60" t="n"/>
      <c r="K9" s="64">
        <f>IF(A9="","",IF(COUNTIFS(ViagensM,A9,ViagensC,"Cancelada",ViagensN,"")&gt;0,"Pendente",SUMIFS(ViagensK,ViagensM,A9,ViagensC,"&lt;&gt;Cancelada")+SUMIFS(ViagensK,ViagensM,A9,ViagensC,"Cancelada",ViagensN,"Sim")))</f>
        <v/>
      </c>
    </row>
    <row r="10" ht="36" customHeight="1" s="61">
      <c r="A10" s="60" t="inlineStr">
        <is>
          <t>FILOSOFIA</t>
        </is>
      </c>
      <c r="B10" s="60" t="inlineStr">
        <is>
          <t>Filosofia</t>
        </is>
      </c>
      <c r="C10" s="60" t="inlineStr">
        <is>
          <t>SEG 1 GRADUAÇÃO</t>
        </is>
      </c>
      <c r="D10" s="64" t="n">
        <v>5000</v>
      </c>
      <c r="E10" s="64" t="n">
        <v>5000</v>
      </c>
      <c r="F10" s="64">
        <f>IF(AND(ISNUMBER(D10),ISNUMBER(E10)),D10+E10,"")</f>
        <v/>
      </c>
      <c r="G10" s="64" t="n">
        <v>134.44</v>
      </c>
      <c r="H10" s="60" t="n"/>
      <c r="I10" s="60" t="n"/>
      <c r="J10" s="60" t="n"/>
      <c r="K10" s="64">
        <f>IF(A10="","",IF(COUNTIFS(ViagensM,A10,ViagensC,"Cancelada",ViagensN,"")&gt;0,"Pendente",SUMIFS(ViagensK,ViagensM,A10,ViagensC,"&lt;&gt;Cancelada")+SUMIFS(ViagensK,ViagensM,A10,ViagensC,"Cancelada",ViagensN,"Sim")))</f>
        <v/>
      </c>
    </row>
    <row r="11" ht="36" customHeight="1" s="61">
      <c r="A11" s="60" t="inlineStr">
        <is>
          <t>GEOGRAFIA</t>
        </is>
      </c>
      <c r="B11" s="60" t="inlineStr">
        <is>
          <t>Geografia</t>
        </is>
      </c>
      <c r="C11" s="60" t="inlineStr">
        <is>
          <t>SEG 1 GRADUAÇÃO</t>
        </is>
      </c>
      <c r="D11" s="64" t="n">
        <v>6000</v>
      </c>
      <c r="E11" s="64" t="n">
        <v>19000</v>
      </c>
      <c r="F11" s="64">
        <f>IF(AND(ISNUMBER(D11),ISNUMBER(E11)),D11+E11,"")</f>
        <v/>
      </c>
      <c r="G11" s="64" t="n">
        <v>9427.92</v>
      </c>
      <c r="H11" s="60" t="n"/>
      <c r="I11" s="60" t="n"/>
      <c r="J11" s="60" t="n"/>
      <c r="K11" s="64">
        <f>IF(A11="","",IF(COUNTIFS(ViagensM,A11,ViagensC,"Cancelada",ViagensN,"")&gt;0,"Pendente",SUMIFS(ViagensK,ViagensM,A11,ViagensC,"&lt;&gt;Cancelada")+SUMIFS(ViagensK,ViagensM,A11,ViagensC,"Cancelada",ViagensN,"Sim")))</f>
        <v/>
      </c>
    </row>
    <row r="12" ht="36" customHeight="1" s="61">
      <c r="A12" s="60" t="inlineStr">
        <is>
          <t>HISTÓRIA</t>
        </is>
      </c>
      <c r="B12" s="60" t="inlineStr">
        <is>
          <t>História</t>
        </is>
      </c>
      <c r="C12" s="60" t="inlineStr">
        <is>
          <t>SEG 1 GRADUAÇÃO</t>
        </is>
      </c>
      <c r="D12" s="64" t="n">
        <v>5000</v>
      </c>
      <c r="E12" s="64" t="n">
        <v>20000</v>
      </c>
      <c r="F12" s="64">
        <f>IF(AND(ISNUMBER(D12),ISNUMBER(E12)),D12+E12,"")</f>
        <v/>
      </c>
      <c r="G12" s="64" t="n">
        <v>9689.1</v>
      </c>
      <c r="H12" s="60" t="n"/>
      <c r="I12" s="60" t="n"/>
      <c r="J12" s="60" t="n"/>
      <c r="K12" s="64">
        <f>IF(A12="","",IF(COUNTIFS(ViagensM,A12,ViagensC,"Cancelada",ViagensN,"")&gt;0,"Pendente",SUMIFS(ViagensK,ViagensM,A12,ViagensC,"&lt;&gt;Cancelada")+SUMIFS(ViagensK,ViagensM,A12,ViagensC,"Cancelada",ViagensN,"Sim")))</f>
        <v/>
      </c>
    </row>
    <row r="13" ht="36" customHeight="1" s="61">
      <c r="A13" s="60" t="inlineStr">
        <is>
          <t>LETRAS</t>
        </is>
      </c>
      <c r="B13" s="60" t="inlineStr">
        <is>
          <t>Letras – Português e Espanhol</t>
        </is>
      </c>
      <c r="C13" s="60" t="inlineStr">
        <is>
          <t>SEG 1 GRADUAÇÃO</t>
        </is>
      </c>
      <c r="D13" s="64" t="n">
        <v>5000</v>
      </c>
      <c r="E13" s="64" t="n">
        <v>13000</v>
      </c>
      <c r="F13" s="64">
        <f>IF(AND(ISNUMBER(D13),ISNUMBER(E13)),D13+E13,"")</f>
        <v/>
      </c>
      <c r="G13" s="64" t="n">
        <v>1279.52</v>
      </c>
      <c r="H13" s="60" t="n"/>
      <c r="I13" s="60" t="n"/>
      <c r="J13" s="60" t="n"/>
      <c r="K13" s="64">
        <f>IF(A13="","",IF(COUNTIFS(ViagensM,A13,ViagensC,"Cancelada",ViagensN,"")&gt;0,"Pendente",SUMIFS(ViagensK,ViagensM,A13,ViagensC,"&lt;&gt;Cancelada")+SUMIFS(ViagensK,ViagensM,A13,ViagensC,"Cancelada",ViagensN,"Sim")))</f>
        <v/>
      </c>
    </row>
    <row r="14" ht="36" customHeight="1" s="61">
      <c r="A14" s="60" t="inlineStr">
        <is>
          <t>MATEMÁTICA</t>
        </is>
      </c>
      <c r="B14" s="60" t="inlineStr">
        <is>
          <t>Matemática</t>
        </is>
      </c>
      <c r="C14" s="60" t="inlineStr">
        <is>
          <t>SEG 1 GRADUAÇÃO</t>
        </is>
      </c>
      <c r="D14" s="64" t="n">
        <v>5000</v>
      </c>
      <c r="E14" s="64" t="n">
        <v>5000</v>
      </c>
      <c r="F14" s="64">
        <f>IF(AND(ISNUMBER(D14),ISNUMBER(E14)),D14+E14,"")</f>
        <v/>
      </c>
      <c r="G14" s="64" t="n">
        <v>7074.72</v>
      </c>
      <c r="H14" s="60" t="n"/>
      <c r="I14" s="60" t="n"/>
      <c r="J14" s="60" t="n"/>
      <c r="K14" s="64">
        <f>IF(A14="","",IF(COUNTIFS(ViagensM,A14,ViagensC,"Cancelada",ViagensN,"")&gt;0,"Pendente",SUMIFS(ViagensK,ViagensM,A14,ViagensC,"&lt;&gt;Cancelada")+SUMIFS(ViagensK,ViagensM,A14,ViagensC,"Cancelada",ViagensN,"Sim")))</f>
        <v/>
      </c>
    </row>
    <row r="15" ht="36" customHeight="1" s="61">
      <c r="A15" s="60" t="inlineStr">
        <is>
          <t>MEDICINA</t>
        </is>
      </c>
      <c r="B15" s="60" t="inlineStr">
        <is>
          <t>Medicina</t>
        </is>
      </c>
      <c r="C15" s="60" t="inlineStr">
        <is>
          <t>SEG 1 GRADUAÇÃO</t>
        </is>
      </c>
      <c r="D15" s="64" t="n">
        <v>5000</v>
      </c>
      <c r="E15" s="64" t="n">
        <v>13000</v>
      </c>
      <c r="F15" s="64">
        <f>IF(AND(ISNUMBER(D15),ISNUMBER(E15)),D15+E15,"")</f>
        <v/>
      </c>
      <c r="G15" s="64" t="n">
        <v>1759.22</v>
      </c>
      <c r="H15" s="60" t="n"/>
      <c r="I15" s="60" t="n"/>
      <c r="J15" s="60" t="n"/>
      <c r="K15" s="64">
        <f>IF(A15="","",IF(COUNTIFS(ViagensM,A15,ViagensC,"Cancelada",ViagensN,"")&gt;0,"Pendente",SUMIFS(ViagensK,ViagensM,A15,ViagensC,"&lt;&gt;Cancelada")+SUMIFS(ViagensK,ViagensM,A15,ViagensC,"Cancelada",ViagensN,"Sim")))</f>
        <v/>
      </c>
    </row>
    <row r="16" ht="36" customHeight="1" s="61">
      <c r="A16" s="60" t="inlineStr">
        <is>
          <t>PEDAGOGIA</t>
        </is>
      </c>
      <c r="B16" s="60" t="inlineStr">
        <is>
          <t>Pedagogia</t>
        </is>
      </c>
      <c r="C16" s="60" t="inlineStr">
        <is>
          <t>SEG 1 GRADUAÇÃO</t>
        </is>
      </c>
      <c r="D16" s="64" t="n">
        <v>5000</v>
      </c>
      <c r="E16" s="64" t="n">
        <v>13000</v>
      </c>
      <c r="F16" s="64">
        <f>IF(AND(ISNUMBER(D16),ISNUMBER(E16)),D16+E16,"")</f>
        <v/>
      </c>
      <c r="G16" s="64" t="n">
        <v>2380.56</v>
      </c>
      <c r="H16" s="60" t="n"/>
      <c r="I16" s="60" t="n"/>
      <c r="J16" s="60" t="n"/>
      <c r="K16" s="64">
        <f>IF(A16="","",IF(COUNTIFS(ViagensM,A16,ViagensC,"Cancelada",ViagensN,"")&gt;0,"Pendente",SUMIFS(ViagensK,ViagensM,A16,ViagensC,"&lt;&gt;Cancelada")+SUMIFS(ViagensK,ViagensM,A16,ViagensC,"Cancelada",ViagensN,"Sim")))</f>
        <v/>
      </c>
    </row>
    <row r="17" ht="36" customHeight="1" s="61">
      <c r="A17" s="60" t="inlineStr">
        <is>
          <t>Lato Oncologia</t>
        </is>
      </c>
      <c r="B17" s="60" t="inlineStr">
        <is>
          <t>Especialização em Enfermagem em Oncologia</t>
        </is>
      </c>
      <c r="C17" s="60" t="inlineStr">
        <is>
          <t>SEG 2 MESTRADO</t>
        </is>
      </c>
      <c r="D17" s="64" t="n">
        <v>9580</v>
      </c>
      <c r="E17" s="64" t="n">
        <v>0</v>
      </c>
      <c r="F17" s="64">
        <f>IF(AND(ISNUMBER(D17),ISNUMBER(E17)),D17+E17,"")</f>
        <v/>
      </c>
      <c r="G17" s="64" t="n">
        <v>0</v>
      </c>
      <c r="H17" s="60" t="n"/>
      <c r="I17" s="60" t="n"/>
      <c r="J17" s="60" t="n"/>
      <c r="K17" s="64">
        <f>IF(A17="","",IF(COUNTIFS(ViagensM,A17,ViagensC,"Cancelada",ViagensN,"")&gt;0,"Pendente",SUMIFS(ViagensK,ViagensM,A17,ViagensC,"&lt;&gt;Cancelada")+SUMIFS(ViagensK,ViagensM,A17,ViagensC,"Cancelada",ViagensN,"Sim")))</f>
        <v/>
      </c>
    </row>
    <row r="18" ht="36" customHeight="1" s="61">
      <c r="A18" s="60" t="inlineStr">
        <is>
          <t>PPGCB</t>
        </is>
      </c>
      <c r="B18" s="60" t="inlineStr">
        <is>
          <t>Mestrado em Ciências Biomédicas</t>
        </is>
      </c>
      <c r="C18" s="60" t="inlineStr">
        <is>
          <t>SEG 2 MESTRADO</t>
        </is>
      </c>
      <c r="D18" s="64" t="n">
        <v>9000</v>
      </c>
      <c r="E18" s="64" t="n">
        <v>3000</v>
      </c>
      <c r="F18" s="64">
        <f>IF(AND(ISNUMBER(D18),ISNUMBER(E18)),D18+E18,"")</f>
        <v/>
      </c>
      <c r="G18" s="64" t="n">
        <v>0</v>
      </c>
      <c r="H18" s="60" t="n"/>
      <c r="I18" s="60" t="n"/>
      <c r="J18" s="60" t="n"/>
      <c r="K18" s="64">
        <f>IF(A18="","",IF(COUNTIFS(ViagensM,A18,ViagensC,"Cancelada",ViagensN,"")&gt;0,"Pendente",SUMIFS(ViagensK,ViagensM,A18,ViagensC,"&lt;&gt;Cancelada")+SUMIFS(ViagensK,ViagensM,A18,ViagensC,"Cancelada",ViagensN,"Sim")))</f>
        <v/>
      </c>
    </row>
    <row r="19" ht="32" customHeight="1" s="61">
      <c r="A19" s="60" t="inlineStr">
        <is>
          <t>PPGE</t>
        </is>
      </c>
      <c r="B19" s="60" t="inlineStr">
        <is>
          <t>Mestrado em Educação</t>
        </is>
      </c>
      <c r="C19" s="60" t="inlineStr">
        <is>
          <t>SEG 2 MESTRADO</t>
        </is>
      </c>
      <c r="D19" s="64" t="n">
        <v>6000</v>
      </c>
      <c r="E19" s="64" t="n">
        <v>3000</v>
      </c>
      <c r="F19" s="64">
        <f>IF(AND(ISNUMBER(D19),ISNUMBER(E19)),D19+E19,"")</f>
        <v/>
      </c>
      <c r="G19" s="64" t="n">
        <v>0</v>
      </c>
      <c r="H19" s="60" t="n"/>
      <c r="I19" s="60" t="n"/>
      <c r="J19" s="60" t="n"/>
      <c r="K19" s="64">
        <f>IF(A19="","",IF(COUNTIFS(ViagensM,A19,ViagensC,"Cancelada",ViagensN,"")&gt;0,"Pendente",SUMIFS(ViagensK,ViagensM,A19,ViagensC,"&lt;&gt;Cancelada")+SUMIFS(ViagensK,ViagensM,A19,ViagensC,"Cancelada",ViagensN,"Sim")))</f>
        <v/>
      </c>
    </row>
    <row r="20" ht="36" customHeight="1" s="61">
      <c r="A20" s="60" t="inlineStr">
        <is>
          <t>PPGEL</t>
        </is>
      </c>
      <c r="B20" s="60" t="inlineStr">
        <is>
          <t>Estudos Linguísticos – Mestrado e Doutorado</t>
        </is>
      </c>
      <c r="C20" s="60" t="inlineStr">
        <is>
          <t>SEG 2 MESTRADO</t>
        </is>
      </c>
      <c r="D20" s="64" t="n">
        <v>8000</v>
      </c>
      <c r="E20" s="64" t="n">
        <v>7000</v>
      </c>
      <c r="F20" s="64">
        <f>IF(AND(ISNUMBER(D20),ISNUMBER(E20)),D20+E20,"")</f>
        <v/>
      </c>
      <c r="G20" s="64" t="n">
        <v>6955.2</v>
      </c>
      <c r="H20" s="60" t="n"/>
      <c r="I20" s="60" t="n"/>
      <c r="J20" s="60" t="n"/>
      <c r="K20" s="64">
        <f>IF(A20="","",IF(COUNTIFS(ViagensM,A20,ViagensC,"Cancelada",ViagensN,"")&gt;0,"Pendente",SUMIFS(ViagensK,ViagensM,A20,ViagensC,"&lt;&gt;Cancelada")+SUMIFS(ViagensK,ViagensM,A20,ViagensC,"Cancelada",ViagensN,"Sim")))</f>
        <v/>
      </c>
    </row>
    <row r="21" ht="36" customHeight="1" s="61">
      <c r="A21" s="60" t="inlineStr">
        <is>
          <t>PPGEL +</t>
        </is>
      </c>
      <c r="B21" s="60" t="inlineStr">
        <is>
          <t>Estudos Linguísticos – Rateio</t>
        </is>
      </c>
      <c r="C21" s="60" t="inlineStr">
        <is>
          <t>SEG 2 MESTRADO</t>
        </is>
      </c>
      <c r="D21" s="64" t="n"/>
      <c r="E21" s="64" t="n"/>
      <c r="F21" s="64">
        <f>IF(AND(ISNUMBER(D21),ISNUMBER(E21)),D21+E21,"")</f>
        <v/>
      </c>
      <c r="G21" s="64" t="n"/>
      <c r="H21" s="66" t="n">
        <v>0.333333333333333</v>
      </c>
      <c r="I21" s="66" t="n">
        <v>0.333333333333333</v>
      </c>
      <c r="J21" s="66" t="n">
        <v>0.333333333333333</v>
      </c>
      <c r="K21" s="64">
        <f>IF(A21="","",IF(COUNTIFS(ViagensM,A21,ViagensC,"Cancelada",ViagensN,"")&gt;0,"Pendente",SUMIFS(ViagensK,ViagensM,A21,ViagensC,"&lt;&gt;Cancelada")+SUMIFS(ViagensK,ViagensM,A21,ViagensC,"Cancelada",ViagensN,"Sim")))</f>
        <v/>
      </c>
    </row>
    <row r="22" ht="32" customHeight="1" s="61">
      <c r="A22" s="60" t="inlineStr">
        <is>
          <t>PPGEnf</t>
        </is>
      </c>
      <c r="B22" s="60" t="inlineStr">
        <is>
          <t>Mestrado em Enfermagem</t>
        </is>
      </c>
      <c r="C22" s="60" t="inlineStr">
        <is>
          <t>SEG 2 MESTRADO</t>
        </is>
      </c>
      <c r="D22" s="64" t="n">
        <v>6000</v>
      </c>
      <c r="E22" s="64" t="n">
        <v>0</v>
      </c>
      <c r="F22" s="64">
        <f>IF(AND(ISNUMBER(D22),ISNUMBER(E22)),D22+E22,"")</f>
        <v/>
      </c>
      <c r="G22" s="64" t="n">
        <v>0</v>
      </c>
      <c r="H22" s="60" t="n"/>
      <c r="I22" s="60" t="n"/>
      <c r="J22" s="60" t="n"/>
      <c r="K22" s="64">
        <f>IF(A22="","",IF(COUNTIFS(ViagensM,A22,ViagensC,"Cancelada",ViagensN,"")&gt;0,"Pendente",SUMIFS(ViagensK,ViagensM,A22,ViagensC,"&lt;&gt;Cancelada")+SUMIFS(ViagensK,ViagensM,A22,ViagensC,"Cancelada",ViagensN,"Sim")))</f>
        <v/>
      </c>
    </row>
    <row r="23" ht="32" customHeight="1" s="61">
      <c r="A23" s="60" t="inlineStr">
        <is>
          <t>PPGFil</t>
        </is>
      </c>
      <c r="B23" s="60" t="inlineStr">
        <is>
          <t>Mestrado em Filosofia</t>
        </is>
      </c>
      <c r="C23" s="60" t="inlineStr">
        <is>
          <t>SEG 2 MESTRADO</t>
        </is>
      </c>
      <c r="D23" s="64" t="n">
        <v>6000</v>
      </c>
      <c r="E23" s="64" t="n">
        <v>0</v>
      </c>
      <c r="F23" s="64">
        <f>IF(AND(ISNUMBER(D23),ISNUMBER(E23)),D23+E23,"")</f>
        <v/>
      </c>
      <c r="G23" s="64" t="n">
        <v>0</v>
      </c>
      <c r="H23" s="60" t="n"/>
      <c r="I23" s="60" t="n"/>
      <c r="J23" s="60" t="n"/>
      <c r="K23" s="64">
        <f>IF(A23="","",IF(COUNTIFS(ViagensM,A23,ViagensC,"Cancelada",ViagensN,"")&gt;0,"Pendente",SUMIFS(ViagensK,ViagensM,A23,ViagensC,"&lt;&gt;Cancelada")+SUMIFS(ViagensK,ViagensM,A23,ViagensC,"Cancelada",ViagensN,"Sim")))</f>
        <v/>
      </c>
    </row>
    <row r="24" ht="32" customHeight="1" s="61">
      <c r="A24" s="60" t="inlineStr">
        <is>
          <t>PPGGeo</t>
        </is>
      </c>
      <c r="B24" s="60" t="inlineStr">
        <is>
          <t>Mestrado em Geografia</t>
        </is>
      </c>
      <c r="C24" s="60" t="inlineStr">
        <is>
          <t>SEG 2 MESTRADO</t>
        </is>
      </c>
      <c r="D24" s="64" t="n">
        <v>9000</v>
      </c>
      <c r="E24" s="64" t="n">
        <v>3000</v>
      </c>
      <c r="F24" s="64">
        <f>IF(AND(ISNUMBER(D24),ISNUMBER(E24)),D24+E24,"")</f>
        <v/>
      </c>
      <c r="G24" s="64" t="n">
        <v>534.08</v>
      </c>
      <c r="H24" s="60" t="n"/>
      <c r="I24" s="60" t="n"/>
      <c r="J24" s="60" t="n"/>
      <c r="K24" s="64">
        <f>IF(A24="","",IF(COUNTIFS(ViagensM,A24,ViagensC,"Cancelada",ViagensN,"")&gt;0,"Pendente",SUMIFS(ViagensK,ViagensM,A24,ViagensC,"&lt;&gt;Cancelada")+SUMIFS(ViagensK,ViagensM,A24,ViagensC,"Cancelada",ViagensN,"Sim")))</f>
        <v/>
      </c>
    </row>
    <row r="25" ht="36" customHeight="1" s="61">
      <c r="A25" s="60" t="inlineStr">
        <is>
          <t>PPGH/PPGDH</t>
        </is>
      </c>
      <c r="B25" s="60" t="inlineStr">
        <is>
          <t>Mestrado e Doutorado em História</t>
        </is>
      </c>
      <c r="C25" s="60" t="inlineStr">
        <is>
          <t>SEG 2 MESTRADO</t>
        </is>
      </c>
      <c r="D25" s="64" t="n">
        <v>12000</v>
      </c>
      <c r="E25" s="64" t="n">
        <v>3000</v>
      </c>
      <c r="F25" s="64">
        <f>IF(AND(ISNUMBER(D25),ISNUMBER(E25)),D25+E25,"")</f>
        <v/>
      </c>
      <c r="G25" s="64" t="n">
        <v>0</v>
      </c>
      <c r="H25" s="60" t="n"/>
      <c r="I25" s="60" t="n"/>
      <c r="J25" s="60" t="n"/>
      <c r="K25" s="64">
        <f>IF(A25="","",IF(COUNTIFS(ViagensM,A25,ViagensC,"Cancelada",ViagensN,"")&gt;0,"Pendente",SUMIFS(ViagensK,ViagensM,A25,ViagensC,"&lt;&gt;Cancelada")+SUMIFS(ViagensK,ViagensM,A25,ViagensC,"Cancelada",ViagensN,"Sim")))</f>
        <v/>
      </c>
    </row>
    <row r="26" ht="50" customHeight="1" s="61">
      <c r="A26" s="60" t="inlineStr">
        <is>
          <t>PROFIAP</t>
        </is>
      </c>
      <c r="B26" s="60" t="inlineStr">
        <is>
          <t>Mestrado Profissional em Administração Pública em Rede Nacional</t>
        </is>
      </c>
      <c r="C26" s="60" t="inlineStr">
        <is>
          <t>SEG 2 MESTRADO</t>
        </is>
      </c>
      <c r="D26" s="64" t="n">
        <v>3000</v>
      </c>
      <c r="E26" s="64" t="n">
        <v>3000</v>
      </c>
      <c r="F26" s="64">
        <f>IF(AND(ISNUMBER(D26),ISNUMBER(E26)),D26+E26,"")</f>
        <v/>
      </c>
      <c r="G26" s="64" t="n">
        <v>0</v>
      </c>
      <c r="H26" s="60" t="n"/>
      <c r="I26" s="60" t="n"/>
      <c r="J26" s="60" t="n"/>
      <c r="K26" s="64">
        <f>IF(A26="","",IF(COUNTIFS(ViagensM,A26,ViagensC,"Cancelada",ViagensN,"")&gt;0,"Pendente",SUMIFS(ViagensK,ViagensM,A26,ViagensC,"&lt;&gt;Cancelada")+SUMIFS(ViagensK,ViagensM,A26,ViagensC,"Cancelada",ViagensN,"Sim")))</f>
        <v/>
      </c>
    </row>
    <row r="27" ht="50" customHeight="1" s="61">
      <c r="A27" s="60" t="inlineStr">
        <is>
          <t>PROFMAT</t>
        </is>
      </c>
      <c r="B27" s="60" t="inlineStr">
        <is>
          <t>Mestrado Profissional em Matemática em Rede Nacional</t>
        </is>
      </c>
      <c r="C27" s="60" t="inlineStr">
        <is>
          <t>SEG 2 MESTRADO</t>
        </is>
      </c>
      <c r="D27" s="64" t="n">
        <v>6000</v>
      </c>
      <c r="E27" s="64" t="n">
        <v>0</v>
      </c>
      <c r="F27" s="64">
        <f>IF(AND(ISNUMBER(D27),ISNUMBER(E27)),D27+E27,"")</f>
        <v/>
      </c>
      <c r="G27" s="64" t="n">
        <v>0</v>
      </c>
      <c r="H27" s="60" t="n"/>
      <c r="I27" s="60" t="n"/>
      <c r="J27" s="60" t="n"/>
      <c r="K27" s="64">
        <f>IF(A27="","",IF(COUNTIFS(ViagensM,A27,ViagensC,"Cancelada",ViagensN,"")&gt;0,"Pendente",SUMIFS(ViagensK,ViagensM,A27,ViagensC,"&lt;&gt;Cancelada")+SUMIFS(ViagensK,ViagensM,A27,ViagensC,"Cancelada",ViagensN,"Sim")))</f>
        <v/>
      </c>
    </row>
    <row r="28" ht="36" customHeight="1" s="61">
      <c r="A28" s="60" t="inlineStr">
        <is>
          <t>DIREÇÃO</t>
        </is>
      </c>
      <c r="B28" s="60" t="inlineStr">
        <is>
          <t>Geral (Direção/Coordenações)</t>
        </is>
      </c>
      <c r="C28" s="60" t="inlineStr">
        <is>
          <t>SEG 3 OUTROS</t>
        </is>
      </c>
      <c r="D28" s="64" t="n">
        <v>17420</v>
      </c>
      <c r="E28" s="64" t="n">
        <v>10000</v>
      </c>
      <c r="F28" s="64">
        <f>IF(AND(ISNUMBER(D28),ISNUMBER(E28)),D28+E28,"")</f>
        <v/>
      </c>
      <c r="G28" s="64" t="n">
        <v>1142.1</v>
      </c>
      <c r="H28" s="60" t="n"/>
      <c r="I28" s="60" t="n"/>
      <c r="J28" s="60" t="n"/>
      <c r="K28" s="64">
        <f>IF(A28="","",IF(COUNTIFS(ViagensM,A28,ViagensC,"Cancelada",ViagensN,"")&gt;0,"Pendente",SUMIFS(ViagensK,ViagensM,A28,ViagensC,"&lt;&gt;Cancelada")+SUMIFS(ViagensK,ViagensM,A28,ViagensC,"Cancelada",ViagensN,"Sim")))</f>
        <v/>
      </c>
    </row>
    <row r="29" ht="32" customHeight="1" s="61">
      <c r="A29" s="60" t="inlineStr">
        <is>
          <t>DIREÇÃO - AGAS</t>
        </is>
      </c>
      <c r="B29" s="60" t="inlineStr">
        <is>
          <t>DIREÇÃO - AGAS</t>
        </is>
      </c>
      <c r="C29" s="60" t="inlineStr">
        <is>
          <t>SEG 3 OUTROS</t>
        </is>
      </c>
      <c r="D29" s="64" t="n"/>
      <c r="E29" s="64" t="n"/>
      <c r="F29" s="64">
        <f>IF(AND(ISNUMBER(D29),ISNUMBER(E29)),D29+E29,"")</f>
        <v/>
      </c>
      <c r="G29" s="64" t="n"/>
      <c r="H29" s="60" t="n"/>
      <c r="I29" s="60" t="n"/>
      <c r="J29" s="60" t="n"/>
      <c r="K29" s="64">
        <f>IF(A29="","",IF(COUNTIFS(ViagensM,A29,ViagensC,"Cancelada",ViagensN,"")&gt;0,"Pendente",SUMIFS(ViagensK,ViagensM,A29,ViagensC,"&lt;&gt;Cancelada")+SUMIFS(ViagensK,ViagensM,A29,ViagensC,"Cancelada",ViagensN,"Sim")))</f>
        <v/>
      </c>
    </row>
    <row r="30" ht="36" customHeight="1" s="61">
      <c r="A30" s="60" t="inlineStr">
        <is>
          <t>DIREÇÃO - Banca Libras</t>
        </is>
      </c>
      <c r="B30" s="60" t="inlineStr">
        <is>
          <t>DIREÇÃO - Banca Libras</t>
        </is>
      </c>
      <c r="C30" s="60" t="inlineStr">
        <is>
          <t>SEG 3 OUTROS</t>
        </is>
      </c>
      <c r="D30" s="64" t="n"/>
      <c r="E30" s="64" t="n"/>
      <c r="F30" s="64">
        <f>IF(AND(ISNUMBER(D30),ISNUMBER(E30)),D30+E30,"")</f>
        <v/>
      </c>
      <c r="G30" s="64" t="n"/>
      <c r="H30" s="60" t="n"/>
      <c r="I30" s="60" t="n"/>
      <c r="J30" s="60" t="n"/>
      <c r="K30" s="64">
        <f>IF(A30="","",IF(COUNTIFS(ViagensM,A30,ViagensC,"Cancelada",ViagensN,"")&gt;0,"Pendente",SUMIFS(ViagensK,ViagensM,A30,ViagensC,"&lt;&gt;Cancelada")+SUMIFS(ViagensK,ViagensM,A30,ViagensC,"Cancelada",ViagensN,"Sim")))</f>
        <v/>
      </c>
    </row>
    <row r="31" ht="32" customHeight="1" s="61">
      <c r="A31" s="60" t="inlineStr">
        <is>
          <t>DIREÇÃO - CAAEX</t>
        </is>
      </c>
      <c r="B31" s="60" t="inlineStr">
        <is>
          <t>DIREÇÃO - CAAEX</t>
        </is>
      </c>
      <c r="C31" s="60" t="inlineStr">
        <is>
          <t>SEG 3 OUTROS</t>
        </is>
      </c>
      <c r="D31" s="64" t="n"/>
      <c r="E31" s="64" t="n"/>
      <c r="F31" s="64">
        <f>IF(AND(ISNUMBER(D31),ISNUMBER(E31)),D31+E31,"")</f>
        <v/>
      </c>
      <c r="G31" s="64" t="n"/>
      <c r="H31" s="60" t="n"/>
      <c r="I31" s="60" t="n"/>
      <c r="J31" s="60" t="n"/>
      <c r="K31" s="64">
        <f>IF(A31="","",IF(COUNTIFS(ViagensM,A31,ViagensC,"Cancelada",ViagensN,"")&gt;0,"Pendente",SUMIFS(ViagensK,ViagensM,A31,ViagensC,"&lt;&gt;Cancelada")+SUMIFS(ViagensK,ViagensM,A31,ViagensC,"Cancelada",ViagensN,"Sim")))</f>
        <v/>
      </c>
    </row>
    <row r="32" ht="36" customHeight="1" s="61">
      <c r="A32" s="60" t="inlineStr">
        <is>
          <t>DIREÇÃO - Empr Junior</t>
        </is>
      </c>
      <c r="B32" s="60" t="inlineStr">
        <is>
          <t>DIREÇÃO - Empr Junior</t>
        </is>
      </c>
      <c r="C32" s="60" t="inlineStr">
        <is>
          <t>SEG 3 OUTROS</t>
        </is>
      </c>
      <c r="D32" s="64" t="n"/>
      <c r="E32" s="64" t="n"/>
      <c r="F32" s="64">
        <f>IF(AND(ISNUMBER(D32),ISNUMBER(E32)),D32+E32,"")</f>
        <v/>
      </c>
      <c r="G32" s="64" t="n"/>
      <c r="H32" s="60" t="n"/>
      <c r="I32" s="60" t="n"/>
      <c r="J32" s="60" t="n"/>
      <c r="K32" s="64">
        <f>IF(A32="","",IF(COUNTIFS(ViagensM,A32,ViagensC,"Cancelada",ViagensN,"")&gt;0,"Pendente",SUMIFS(ViagensK,ViagensM,A32,ViagensC,"&lt;&gt;Cancelada")+SUMIFS(ViagensK,ViagensM,A32,ViagensC,"Cancelada",ViagensN,"Sim")))</f>
        <v/>
      </c>
    </row>
    <row r="33" ht="36" customHeight="1" s="61">
      <c r="A33" s="60" t="inlineStr">
        <is>
          <t>DIREÇÃO - StartUp Summit</t>
        </is>
      </c>
      <c r="B33" s="60" t="inlineStr">
        <is>
          <t>DIREÇÃO - StartUp Summit</t>
        </is>
      </c>
      <c r="C33" s="60" t="inlineStr">
        <is>
          <t>SEG 3 OUTROS</t>
        </is>
      </c>
      <c r="D33" s="64" t="n"/>
      <c r="E33" s="64" t="n"/>
      <c r="F33" s="64">
        <f>IF(AND(ISNUMBER(D33),ISNUMBER(E33)),D33+E33,"")</f>
        <v/>
      </c>
      <c r="G33" s="64" t="n"/>
      <c r="H33" s="60" t="n"/>
      <c r="I33" s="60" t="n"/>
      <c r="J33" s="60" t="n"/>
      <c r="K33" s="64">
        <f>IF(A33="","",IF(COUNTIFS(ViagensM,A33,ViagensC,"Cancelada",ViagensN,"")&gt;0,"Pendente",SUMIFS(ViagensK,ViagensM,A33,ViagensC,"&lt;&gt;Cancelada")+SUMIFS(ViagensK,ViagensM,A33,ViagensC,"Cancelada",ViagensN,"Sim")))</f>
        <v/>
      </c>
    </row>
    <row r="34" ht="36" customHeight="1" s="61">
      <c r="A34" s="60" t="inlineStr">
        <is>
          <t>DIREÇÃO - StartUp Weekend</t>
        </is>
      </c>
      <c r="B34" s="60" t="inlineStr">
        <is>
          <t>DIREÇÃO - StartUp Weekend</t>
        </is>
      </c>
      <c r="C34" s="60" t="inlineStr">
        <is>
          <t>SEG 3 OUTROS</t>
        </is>
      </c>
      <c r="D34" s="64" t="n"/>
      <c r="E34" s="64" t="n"/>
      <c r="F34" s="64">
        <f>IF(AND(ISNUMBER(D34),ISNUMBER(E34)),D34+E34,"")</f>
        <v/>
      </c>
      <c r="G34" s="64" t="n"/>
      <c r="H34" s="60" t="n"/>
      <c r="I34" s="60" t="n"/>
      <c r="J34" s="60" t="n"/>
      <c r="K34" s="64">
        <f>IF(A34="","",IF(COUNTIFS(ViagensM,A34,ViagensC,"Cancelada",ViagensN,"")&gt;0,"Pendente",SUMIFS(ViagensK,ViagensM,A34,ViagensC,"&lt;&gt;Cancelada")+SUMIFS(ViagensK,ViagensM,A34,ViagensC,"Cancelada",ViagensN,"Sim")))</f>
        <v/>
      </c>
    </row>
    <row r="35" ht="32" customHeight="1" s="61">
      <c r="A35" s="60" t="inlineStr">
        <is>
          <t>DIREÇÃO - Sunset</t>
        </is>
      </c>
      <c r="B35" s="60" t="inlineStr">
        <is>
          <t>DIREÇÃO - Sunset</t>
        </is>
      </c>
      <c r="C35" s="60" t="inlineStr">
        <is>
          <t>SEG 3 OUTROS</t>
        </is>
      </c>
      <c r="D35" s="64" t="n"/>
      <c r="E35" s="64" t="n"/>
      <c r="F35" s="64">
        <f>IF(AND(ISNUMBER(D35),ISNUMBER(E35)),D35+E35,"")</f>
        <v/>
      </c>
      <c r="G35" s="64" t="n"/>
      <c r="H35" s="60" t="n"/>
      <c r="I35" s="60" t="n"/>
      <c r="J35" s="60" t="n"/>
      <c r="K35" s="64">
        <f>IF(A35="","",IF(COUNTIFS(ViagensM,A35,ViagensC,"Cancelada",ViagensN,"")&gt;0,"Pendente",SUMIFS(ViagensK,ViagensM,A35,ViagensC,"&lt;&gt;Cancelada")+SUMIFS(ViagensK,ViagensM,A35,ViagensC,"Cancelada",ViagensN,"Sim")))</f>
        <v/>
      </c>
    </row>
    <row r="36" ht="36" customHeight="1" s="61">
      <c r="A36" s="60" t="inlineStr">
        <is>
          <t>CAPPG - Res 49</t>
        </is>
      </c>
      <c r="B36" s="60" t="inlineStr">
        <is>
          <t>CAPPG - Res 49</t>
        </is>
      </c>
      <c r="C36" s="60" t="inlineStr">
        <is>
          <t>SEG 4 AUX EVENTOS</t>
        </is>
      </c>
      <c r="D36" s="64" t="n">
        <v>20000</v>
      </c>
      <c r="E36" s="64" t="n">
        <v>0</v>
      </c>
      <c r="F36" s="64">
        <f>IF(AND(ISNUMBER(D36),ISNUMBER(E36)),D36+E36,"")</f>
        <v/>
      </c>
      <c r="G36" s="64" t="n">
        <v>0</v>
      </c>
      <c r="H36" s="60" t="n"/>
      <c r="I36" s="60" t="n"/>
      <c r="J36" s="60" t="n"/>
      <c r="K36" s="64">
        <f>IF(A36="","",IF(COUNTIFS(ViagensM,A36,ViagensC,"Cancelada",ViagensN,"")&gt;0,"Pendente",SUMIFS(ViagensK,ViagensM,A36,ViagensC,"&lt;&gt;Cancelada")+SUMIFS(ViagensK,ViagensM,A36,ViagensC,"Cancelada",ViagensN,"Sim")))</f>
        <v/>
      </c>
    </row>
    <row r="37" ht="36" customHeight="1" s="61">
      <c r="A37" s="60" t="inlineStr">
        <is>
          <t>AFAST PAÍS</t>
        </is>
      </c>
      <c r="B37" s="60" t="inlineStr">
        <is>
          <t>Afastamento no país</t>
        </is>
      </c>
      <c r="C37" s="60" t="inlineStr">
        <is>
          <t>SEG 5 AFAST PAÍS</t>
        </is>
      </c>
      <c r="D37" s="64" t="n"/>
      <c r="E37" s="64" t="n"/>
      <c r="F37" s="64">
        <f>IF(AND(ISNUMBER(D37),ISNUMBER(E37)),D37+E37,"")</f>
        <v/>
      </c>
      <c r="G37" s="64" t="n"/>
      <c r="H37" s="60" t="n"/>
      <c r="I37" s="60" t="n"/>
      <c r="J37" s="60" t="n"/>
      <c r="K37" s="64">
        <f>IF(A37="","",IF(COUNTIFS(ViagensM,A37,ViagensC,"Cancelada",ViagensN,"")&gt;0,"Pendente",SUMIFS(ViagensK,ViagensM,A37,ViagensC,"&lt;&gt;Cancelada")+SUMIFS(ViagensK,ViagensM,A37,ViagensC,"Cancelada",ViagensN,"Sim")))</f>
        <v/>
      </c>
    </row>
    <row r="1048575" ht="12.8" customHeight="1" s="61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0"/>
    <pageSetUpPr fitToPage="0"/>
  </sheetPr>
  <dimension ref="A1:R6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J13" activeCellId="0" sqref="J13"/>
    </sheetView>
  </sheetViews>
  <sheetFormatPr baseColWidth="8" defaultColWidth="8.6796875" defaultRowHeight="15.75" customHeight="1" zeroHeight="1" outlineLevelRow="0"/>
  <cols>
    <col width="6.43" customWidth="1" style="67" min="1" max="1"/>
    <col width="34.14" customWidth="1" style="67" min="2" max="2"/>
    <col width="12.57" customWidth="1" style="67" min="3" max="3"/>
    <col width="4.14" customWidth="1" style="67" min="4" max="4"/>
    <col width="12.57" customWidth="1" style="67" min="5" max="7"/>
    <col width="5.14" customWidth="1" style="67" min="8" max="8"/>
    <col width="12.57" customWidth="1" style="67" min="9" max="11"/>
    <col width="4.42" customWidth="1" style="67" min="12" max="12"/>
    <col width="12.57" customWidth="1" style="67" min="13" max="14"/>
    <col hidden="1" width="13" customWidth="1" style="67" min="15" max="16"/>
    <col hidden="1" width="13" customWidth="1" style="67" min="18" max="18"/>
  </cols>
  <sheetData>
    <row r="1" ht="12.75" customHeight="1" s="61">
      <c r="A1" s="68" t="n"/>
      <c r="B1" s="69" t="n"/>
      <c r="C1" s="70" t="n"/>
      <c r="D1" s="70" t="n"/>
      <c r="E1" s="70" t="n"/>
      <c r="F1" s="70" t="n"/>
      <c r="G1" s="70" t="n"/>
      <c r="H1" s="70" t="n"/>
      <c r="I1" s="70" t="n"/>
      <c r="J1" s="70" t="n"/>
      <c r="K1" s="70" t="n"/>
      <c r="L1" s="70" t="n"/>
      <c r="M1" s="70" t="n"/>
      <c r="R1" s="67">
        <f>MAX(1,IFERROR(LOOKUP(2,1/('APOIO'!$A:$A&lt;&gt;""),ROW('APOIO'!$A:$A))-1,1))</f>
        <v/>
      </c>
    </row>
    <row r="2" ht="32.25" customHeight="1" s="61">
      <c r="A2" s="69" t="n"/>
      <c r="B2" s="71" t="inlineStr">
        <is>
          <t>RESUMO DE GASTOS - Diárias - Passagens - Transportes</t>
        </is>
      </c>
      <c r="C2" s="72" t="n"/>
      <c r="D2" s="72" t="n"/>
      <c r="E2" s="72" t="n"/>
      <c r="F2" s="72" t="n"/>
      <c r="G2" s="72" t="n"/>
      <c r="H2" s="72" t="n"/>
      <c r="I2" s="72" t="n"/>
      <c r="J2" s="73" t="inlineStr">
        <is>
          <t>Atualizado até:</t>
        </is>
      </c>
      <c r="L2" s="70" t="n"/>
      <c r="M2" s="74" t="n">
        <v>46239</v>
      </c>
      <c r="R2" s="67">
        <f>MAX(1,IFERROR(LOOKUP(2,1/('BASE VIAGENS'!$A:$A&lt;&gt;""),ROW('BASE VIAGENS'!$A:$A))-1,1))</f>
        <v/>
      </c>
    </row>
    <row r="3" ht="15.75" customHeight="1" s="61">
      <c r="A3" s="69" t="n"/>
      <c r="B3" s="75" t="inlineStr">
        <is>
          <t>ASSPLAN-CH - Assessoria de Planejamento - Campus Chapecó</t>
        </is>
      </c>
      <c r="J3" s="70" t="n"/>
      <c r="K3" s="70" t="n"/>
      <c r="L3" s="70" t="n"/>
      <c r="M3" s="70" t="n"/>
      <c r="R3" s="67">
        <f>MAX(1,IFERROR(LOOKUP(2,1/('RESUMO GASTOS'!$B:$B&lt;&gt;""),ROW('RESUMO GASTOS'!$B:$B))-1,1))</f>
        <v/>
      </c>
    </row>
    <row r="4" ht="12.75" customHeight="1" s="61">
      <c r="A4" s="69" t="n"/>
      <c r="B4" s="69" t="n"/>
      <c r="C4" s="70" t="n"/>
      <c r="D4" s="70" t="n"/>
      <c r="E4" s="70" t="n"/>
      <c r="F4" s="70" t="n"/>
      <c r="G4" s="70" t="n"/>
      <c r="H4" s="70" t="n"/>
      <c r="I4" s="70" t="n"/>
      <c r="J4" s="70" t="n"/>
      <c r="K4" s="70" t="n"/>
      <c r="L4" s="70" t="n"/>
      <c r="M4" s="70" t="n"/>
    </row>
    <row r="5" ht="22.5" customHeight="1" s="61">
      <c r="A5" s="69" t="n"/>
      <c r="B5" s="76" t="inlineStr">
        <is>
          <t>CURSOS DE GRADUAÇÃO</t>
        </is>
      </c>
      <c r="C5" s="77" t="inlineStr">
        <is>
          <t>Proposta 2026 Recurso Total</t>
        </is>
      </c>
      <c r="D5" s="70" t="n"/>
      <c r="E5" s="78" t="inlineStr">
        <is>
          <t>Diárias &amp; Passagens</t>
        </is>
      </c>
      <c r="F5" s="79" t="n"/>
      <c r="G5" s="79" t="n"/>
      <c r="H5" s="80" t="n"/>
      <c r="I5" s="81" t="inlineStr">
        <is>
          <t>Transportes</t>
        </is>
      </c>
      <c r="J5" s="79" t="n"/>
      <c r="K5" s="79" t="n"/>
      <c r="L5" s="80" t="n"/>
      <c r="M5" s="82" t="inlineStr">
        <is>
          <t>SALDO GERAL</t>
        </is>
      </c>
    </row>
    <row r="6" ht="22.5" customHeight="1" s="61">
      <c r="A6" s="69" t="n"/>
      <c r="B6" s="83" t="n"/>
      <c r="C6" s="83" t="n"/>
      <c r="D6" s="70" t="n"/>
      <c r="E6" s="84" t="inlineStr">
        <is>
          <t>Distribuído</t>
        </is>
      </c>
      <c r="F6" s="85" t="inlineStr">
        <is>
          <t>Utilizado</t>
        </is>
      </c>
      <c r="G6" s="85" t="inlineStr">
        <is>
          <t>Saldo</t>
        </is>
      </c>
      <c r="H6" s="86" t="n"/>
      <c r="I6" s="84" t="inlineStr">
        <is>
          <t>Distribuído</t>
        </is>
      </c>
      <c r="J6" s="85" t="inlineStr">
        <is>
          <t>Utilizado</t>
        </is>
      </c>
      <c r="K6" s="85" t="inlineStr">
        <is>
          <t>Saldo</t>
        </is>
      </c>
      <c r="L6" s="80" t="n"/>
      <c r="M6" s="83" t="n"/>
    </row>
    <row r="7" ht="15" customHeight="1" s="61">
      <c r="A7" s="69" t="n"/>
      <c r="B7" s="87" t="inlineStr">
        <is>
          <t>Administração</t>
        </is>
      </c>
      <c r="C7" s="88">
        <f>IF(AND(ISNUMBER(E7),ISNUMBER(I7)),E7+I7,"Pendente")</f>
        <v/>
      </c>
      <c r="D7" s="70" t="n"/>
      <c r="E7" s="88">
        <f>IF(SUMPRODUCT((--(ApoioA&lt;&gt;"")*--(((ApoioA=(IFERROR(INDEX(ApoioA,MATCH($B7,ApoioB,0)),IF(COUNTIF(ApoioA,$B7)&gt;0,$B7,IF($B7="RESOLUÇÃO 049/2022-CONSUNI/CPPGEC","CAPPG - Res 49",IF($B7="OUTROS","DIREÇÃO",""))))))+((IFERROR(INDEX(ApoioA,MATCH($B7,ApoioB,0)),IF(COUNTIF(ApoioA,$B7)&gt;0,$B7,IF($B7="RESOLUÇÃO 049/2022-CONSUNI/CPPGEC","CAPPG - Res 49",IF($B7="OUTROS","DIREÇÃO","")))))="DIREÇÃO")*(LEFT(ApoioA,9)="DIREÇÃO -"))&gt;0))+(--(ApoioA="PPGEL +")*(((IFERROR(INDEX(ApoioA,MATCH($B7,ApoioB,0)),IF(COUNTIF(ApoioA,$B7)&gt;0,$B7,IF($B7="RESOLUÇÃO 049/2022-CONSUNI/CPPGEC","CAPPG - Res 49",IF($B7="OUTROS","DIREÇÃO","")))))="PPGE")*ApoioJ+((IFERROR(INDEX(ApoioA,MATCH($B7,ApoioB,0)),IF(COUNTIF(ApoioA,$B7)&gt;0,$B7,IF($B7="RESOLUÇÃO 049/2022-CONSUNI/CPPGEC","CAPPG - Res 49",IF($B7="OUTROS","DIREÇÃO","")))))="PPGEL")*ApoioK+((IFERROR(INDEX(ApoioA,MATCH($B7,ApoioB,0)),IF(COUNTIF(ApoioA,$B7)&gt;0,$B7,IF($B7="RESOLUÇÃO 049/2022-CONSUNI/CPPGEC","CAPPG - Res 49",IF($B7="OUTROS","DIREÇÃO","")))))="PPGH/PPGDH")*ApoioL)),--ISNUMBER(ApoioD))=0,"Pendente",SUMPRODUCT((--(ApoioA&lt;&gt;"")*--(((ApoioA=(IFERROR(INDEX(ApoioA,MATCH($B7,ApoioB,0)),IF(COUNTIF(ApoioA,$B7)&gt;0,$B7,IF($B7="RESOLUÇÃO 049/2022-CONSUNI/CPPGEC","CAPPG - Res 49",IF($B7="OUTROS","DIREÇÃO",""))))))+((IFERROR(INDEX(ApoioA,MATCH($B7,ApoioB,0)),IF(COUNTIF(ApoioA,$B7)&gt;0,$B7,IF($B7="RESOLUÇÃO 049/2022-CONSUNI/CPPGEC","CAPPG - Res 49",IF($B7="OUTROS","DIREÇÃO","")))))="DIREÇÃO")*(LEFT(ApoioA,9)="DIREÇÃO -"))&gt;0))+(--(ApoioA="PPGEL +")*(((IFERROR(INDEX(ApoioA,MATCH($B7,ApoioB,0)),IF(COUNTIF(ApoioA,$B7)&gt;0,$B7,IF($B7="RESOLUÇÃO 049/2022-CONSUNI/CPPGEC","CAPPG - Res 49",IF($B7="OUTROS","DIREÇÃO","")))))="PPGE")*ApoioJ+((IFERROR(INDEX(ApoioA,MATCH($B7,ApoioB,0)),IF(COUNTIF(ApoioA,$B7)&gt;0,$B7,IF($B7="RESOLUÇÃO 049/2022-CONSUNI/CPPGEC","CAPPG - Res 49",IF($B7="OUTROS","DIREÇÃO","")))))="PPGEL")*ApoioK+((IFERROR(INDEX(ApoioA,MATCH($B7,ApoioB,0)),IF(COUNTIF(ApoioA,$B7)&gt;0,$B7,IF($B7="RESOLUÇÃO 049/2022-CONSUNI/CPPGEC","CAPPG - Res 49",IF($B7="OUTROS","DIREÇÃO","")))))="PPGH/PPGDH")*ApoioL)),ApoioD))</f>
        <v/>
      </c>
      <c r="F7" s="89">
        <f>IF(SUMPRODUCT((--(ApoioA&lt;&gt;"")*--(((ApoioA=(IFERROR(INDEX(ApoioA,MATCH($B7,ApoioB,0)),IF(COUNTIF(ApoioA,$B7)&gt;0,$B7,IF($B7="RESOLUÇÃO 049/2022-CONSUNI/CPPGEC","CAPPG - Res 49",IF($B7="OUTROS","DIREÇÃO",""))))))+((IFERROR(INDEX(ApoioA,MATCH($B7,ApoioB,0)),IF(COUNTIF(ApoioA,$B7)&gt;0,$B7,IF($B7="RESOLUÇÃO 049/2022-CONSUNI/CPPGEC","CAPPG - Res 49",IF($B7="OUTROS","DIREÇÃO","")))))="DIREÇÃO")*(LEFT(ApoioA,9)="DIREÇÃO -"))&gt;0))+(--(ApoioA="PPGEL +")*(((IFERROR(INDEX(ApoioA,MATCH($B7,ApoioB,0)),IF(COUNTIF(ApoioA,$B7)&gt;0,$B7,IF($B7="RESOLUÇÃO 049/2022-CONSUNI/CPPGEC","CAPPG - Res 49",IF($B7="OUTROS","DIREÇÃO","")))))="PPGE")*ApoioJ+((IFERROR(INDEX(ApoioA,MATCH($B7,ApoioB,0)),IF(COUNTIF(ApoioA,$B7)&gt;0,$B7,IF($B7="RESOLUÇÃO 049/2022-CONSUNI/CPPGEC","CAPPG - Res 49",IF($B7="OUTROS","DIREÇÃO","")))))="PPGEL")*ApoioK+((IFERROR(INDEX(ApoioA,MATCH($B7,ApoioB,0)),IF(COUNTIF(ApoioA,$B7)&gt;0,$B7,IF($B7="RESOLUÇÃO 049/2022-CONSUNI/CPPGEC","CAPPG - Res 49",IF($B7="OUTROS","DIREÇÃO","")))))="PPGH/PPGDH")*ApoioL)),COUNTIFS(ViagensM,ApoioA,ViagensC,"Cancelada",ViagensN,""))&gt;0,"Pendente",SUMPRODUCT((--(ApoioA&lt;&gt;"")*--(((ApoioA=(IFERROR(INDEX(ApoioA,MATCH($B7,ApoioB,0)),IF(COUNTIF(ApoioA,$B7)&gt;0,$B7,IF($B7="RESOLUÇÃO 049/2022-CONSUNI/CPPGEC","CAPPG - Res 49",IF($B7="OUTROS","DIREÇÃO",""))))))+((IFERROR(INDEX(ApoioA,MATCH($B7,ApoioB,0)),IF(COUNTIF(ApoioA,$B7)&gt;0,$B7,IF($B7="RESOLUÇÃO 049/2022-CONSUNI/CPPGEC","CAPPG - Res 49",IF($B7="OUTROS","DIREÇÃO","")))))="DIREÇÃO")*(LEFT(ApoioA,9)="DIREÇÃO -"))&gt;0))+(--(ApoioA="PPGEL +")*(((IFERROR(INDEX(ApoioA,MATCH($B7,ApoioB,0)),IF(COUNTIF(ApoioA,$B7)&gt;0,$B7,IF($B7="RESOLUÇÃO 049/2022-CONSUNI/CPPGEC","CAPPG - Res 49",IF($B7="OUTROS","DIREÇÃO","")))))="PPGE")*ApoioJ+((IFERROR(INDEX(ApoioA,MATCH($B7,ApoioB,0)),IF(COUNTIF(ApoioA,$B7)&gt;0,$B7,IF($B7="RESOLUÇÃO 049/2022-CONSUNI/CPPGEC","CAPPG - Res 49",IF($B7="OUTROS","DIREÇÃO","")))))="PPGEL")*ApoioK+((IFERROR(INDEX(ApoioA,MATCH($B7,ApoioB,0)),IF(COUNTIF(ApoioA,$B7)&gt;0,$B7,IF($B7="RESOLUÇÃO 049/2022-CONSUNI/CPPGEC","CAPPG - Res 49",IF($B7="OUTROS","DIREÇÃO","")))))="PPGH/PPGDH")*ApoioL)),(SUMIFS(ViagensK,ViagensM,ApoioA,ViagensC,"&lt;&gt;Cancelada")+SUMIFS(ViagensK,ViagensM,ApoioA,ViagensC,"Cancelada",ViagensN,"Sim"))))</f>
        <v/>
      </c>
      <c r="G7" s="89">
        <f>IF(AND(ISNUMBER(E7),ISNUMBER(F7)),E7-F7,"Pendente")</f>
        <v/>
      </c>
      <c r="H7" s="70" t="n"/>
      <c r="I7" s="88">
        <f>IF(SUMPRODUCT((--(ApoioA&lt;&gt;"")*--(((ApoioA=(IFERROR(INDEX(ApoioA,MATCH($B7,ApoioB,0)),IF(COUNTIF(ApoioA,$B7)&gt;0,$B7,IF($B7="RESOLUÇÃO 049/2022-CONSUNI/CPPGEC","CAPPG - Res 49",IF($B7="OUTROS","DIREÇÃO",""))))))+((IFERROR(INDEX(ApoioA,MATCH($B7,ApoioB,0)),IF(COUNTIF(ApoioA,$B7)&gt;0,$B7,IF($B7="RESOLUÇÃO 049/2022-CONSUNI/CPPGEC","CAPPG - Res 49",IF($B7="OUTROS","DIREÇÃO","")))))="DIREÇÃO")*(LEFT(ApoioA,9)="DIREÇÃO -"))&gt;0))+(--(ApoioA="PPGEL +")*(((IFERROR(INDEX(ApoioA,MATCH($B7,ApoioB,0)),IF(COUNTIF(ApoioA,$B7)&gt;0,$B7,IF($B7="RESOLUÇÃO 049/2022-CONSUNI/CPPGEC","CAPPG - Res 49",IF($B7="OUTROS","DIREÇÃO","")))))="PPGE")*ApoioJ+((IFERROR(INDEX(ApoioA,MATCH($B7,ApoioB,0)),IF(COUNTIF(ApoioA,$B7)&gt;0,$B7,IF($B7="RESOLUÇÃO 049/2022-CONSUNI/CPPGEC","CAPPG - Res 49",IF($B7="OUTROS","DIREÇÃO","")))))="PPGEL")*ApoioK+((IFERROR(INDEX(ApoioA,MATCH($B7,ApoioB,0)),IF(COUNTIF(ApoioA,$B7)&gt;0,$B7,IF($B7="RESOLUÇÃO 049/2022-CONSUNI/CPPGEC","CAPPG - Res 49",IF($B7="OUTROS","DIREÇÃO","")))))="PPGH/PPGDH")*ApoioL)),--ISNUMBER(ApoioE))=0,"Pendente",SUMPRODUCT((--(ApoioA&lt;&gt;"")*--(((ApoioA=(IFERROR(INDEX(ApoioA,MATCH($B7,ApoioB,0)),IF(COUNTIF(ApoioA,$B7)&gt;0,$B7,IF($B7="RESOLUÇÃO 049/2022-CONSUNI/CPPGEC","CAPPG - Res 49",IF($B7="OUTROS","DIREÇÃO",""))))))+((IFERROR(INDEX(ApoioA,MATCH($B7,ApoioB,0)),IF(COUNTIF(ApoioA,$B7)&gt;0,$B7,IF($B7="RESOLUÇÃO 049/2022-CONSUNI/CPPGEC","CAPPG - Res 49",IF($B7="OUTROS","DIREÇÃO","")))))="DIREÇÃO")*(LEFT(ApoioA,9)="DIREÇÃO -"))&gt;0))+(--(ApoioA="PPGEL +")*(((IFERROR(INDEX(ApoioA,MATCH($B7,ApoioB,0)),IF(COUNTIF(ApoioA,$B7)&gt;0,$B7,IF($B7="RESOLUÇÃO 049/2022-CONSUNI/CPPGEC","CAPPG - Res 49",IF($B7="OUTROS","DIREÇÃO","")))))="PPGE")*ApoioJ+((IFERROR(INDEX(ApoioA,MATCH($B7,ApoioB,0)),IF(COUNTIF(ApoioA,$B7)&gt;0,$B7,IF($B7="RESOLUÇÃO 049/2022-CONSUNI/CPPGEC","CAPPG - Res 49",IF($B7="OUTROS","DIREÇÃO","")))))="PPGEL")*ApoioK+((IFERROR(INDEX(ApoioA,MATCH($B7,ApoioB,0)),IF(COUNTIF(ApoioA,$B7)&gt;0,$B7,IF($B7="RESOLUÇÃO 049/2022-CONSUNI/CPPGEC","CAPPG - Res 49",IF($B7="OUTROS","DIREÇÃO","")))))="PPGH/PPGDH")*ApoioL)),ApoioE))</f>
        <v/>
      </c>
      <c r="J7" s="89">
        <f>IF(SUMPRODUCT((--(ApoioA&lt;&gt;"")*--(((ApoioA=(IFERROR(INDEX(ApoioA,MATCH($B7,ApoioB,0)),IF(COUNTIF(ApoioA,$B7)&gt;0,$B7,IF($B7="RESOLUÇÃO 049/2022-CONSUNI/CPPGEC","CAPPG - Res 49",IF($B7="OUTROS","DIREÇÃO",""))))))+((IFERROR(INDEX(ApoioA,MATCH($B7,ApoioB,0)),IF(COUNTIF(ApoioA,$B7)&gt;0,$B7,IF($B7="RESOLUÇÃO 049/2022-CONSUNI/CPPGEC","CAPPG - Res 49",IF($B7="OUTROS","DIREÇÃO","")))))="DIREÇÃO")*(LEFT(ApoioA,9)="DIREÇÃO -"))&gt;0))+(--(ApoioA="PPGEL +")*(((IFERROR(INDEX(ApoioA,MATCH($B7,ApoioB,0)),IF(COUNTIF(ApoioA,$B7)&gt;0,$B7,IF($B7="RESOLUÇÃO 049/2022-CONSUNI/CPPGEC","CAPPG - Res 49",IF($B7="OUTROS","DIREÇÃO","")))))="PPGE")*ApoioJ+((IFERROR(INDEX(ApoioA,MATCH($B7,ApoioB,0)),IF(COUNTIF(ApoioA,$B7)&gt;0,$B7,IF($B7="RESOLUÇÃO 049/2022-CONSUNI/CPPGEC","CAPPG - Res 49",IF($B7="OUTROS","DIREÇÃO","")))))="PPGEL")*ApoioK+((IFERROR(INDEX(ApoioA,MATCH($B7,ApoioB,0)),IF(COUNTIF(ApoioA,$B7)&gt;0,$B7,IF($B7="RESOLUÇÃO 049/2022-CONSUNI/CPPGEC","CAPPG - Res 49",IF($B7="OUTROS","DIREÇÃO","")))))="PPGH/PPGDH")*ApoioL)),--ISNUMBER(ApoioG))=0,"Pendente",SUMPRODUCT((--(ApoioA&lt;&gt;"")*--(((ApoioA=(IFERROR(INDEX(ApoioA,MATCH($B7,ApoioB,0)),IF(COUNTIF(ApoioA,$B7)&gt;0,$B7,IF($B7="RESOLUÇÃO 049/2022-CONSUNI/CPPGEC","CAPPG - Res 49",IF($B7="OUTROS","DIREÇÃO",""))))))+((IFERROR(INDEX(ApoioA,MATCH($B7,ApoioB,0)),IF(COUNTIF(ApoioA,$B7)&gt;0,$B7,IF($B7="RESOLUÇÃO 049/2022-CONSUNI/CPPGEC","CAPPG - Res 49",IF($B7="OUTROS","DIREÇÃO","")))))="DIREÇÃO")*(LEFT(ApoioA,9)="DIREÇÃO -"))&gt;0))+(--(ApoioA="PPGEL +")*(((IFERROR(INDEX(ApoioA,MATCH($B7,ApoioB,0)),IF(COUNTIF(ApoioA,$B7)&gt;0,$B7,IF($B7="RESOLUÇÃO 049/2022-CONSUNI/CPPGEC","CAPPG - Res 49",IF($B7="OUTROS","DIREÇÃO","")))))="PPGE")*ApoioJ+((IFERROR(INDEX(ApoioA,MATCH($B7,ApoioB,0)),IF(COUNTIF(ApoioA,$B7)&gt;0,$B7,IF($B7="RESOLUÇÃO 049/2022-CONSUNI/CPPGEC","CAPPG - Res 49",IF($B7="OUTROS","DIREÇÃO","")))))="PPGEL")*ApoioK+((IFERROR(INDEX(ApoioA,MATCH($B7,ApoioB,0)),IF(COUNTIF(ApoioA,$B7)&gt;0,$B7,IF($B7="RESOLUÇÃO 049/2022-CONSUNI/CPPGEC","CAPPG - Res 49",IF($B7="OUTROS","DIREÇÃO","")))))="PPGH/PPGDH")*ApoioL)),ApoioG))</f>
        <v/>
      </c>
      <c r="K7" s="89">
        <f>IF(AND(ISNUMBER(I7),ISNUMBER(J7)),I7-J7,"Pendente")</f>
        <v/>
      </c>
      <c r="L7" s="70" t="n"/>
      <c r="M7" s="89">
        <f>IF(AND(ISNUMBER(G7),ISNUMBER(K7)),G7+K7,"Pendente")</f>
        <v/>
      </c>
      <c r="O7" s="67" t="inlineStr">
        <is>
          <t>Grupo principal</t>
        </is>
      </c>
      <c r="P7" s="67">
        <f>B7</f>
        <v/>
      </c>
    </row>
    <row r="8" ht="15" customHeight="1" s="61">
      <c r="A8" s="69" t="n"/>
      <c r="B8" s="87" t="inlineStr">
        <is>
          <t>Agronomia</t>
        </is>
      </c>
      <c r="C8" s="88">
        <f>IF(AND(ISNUMBER(E8),ISNUMBER(I8)),E8+I8,"Pendente")</f>
        <v/>
      </c>
      <c r="D8" s="70" t="n"/>
      <c r="E8" s="88">
        <f>IF(SUMPRODUCT((--(ApoioA&lt;&gt;"")*--(((ApoioA=(IFERROR(INDEX(ApoioA,MATCH($B8,ApoioB,0)),IF(COUNTIF(ApoioA,$B8)&gt;0,$B8,IF($B8="RESOLUÇÃO 049/2022-CONSUNI/CPPGEC","CAPPG - Res 49",IF($B8="OUTROS","DIREÇÃO",""))))))+((IFERROR(INDEX(ApoioA,MATCH($B8,ApoioB,0)),IF(COUNTIF(ApoioA,$B8)&gt;0,$B8,IF($B8="RESOLUÇÃO 049/2022-CONSUNI/CPPGEC","CAPPG - Res 49",IF($B8="OUTROS","DIREÇÃO","")))))="DIREÇÃO")*(LEFT(ApoioA,9)="DIREÇÃO -"))&gt;0))+(--(ApoioA="PPGEL +")*(((IFERROR(INDEX(ApoioA,MATCH($B8,ApoioB,0)),IF(COUNTIF(ApoioA,$B8)&gt;0,$B8,IF($B8="RESOLUÇÃO 049/2022-CONSUNI/CPPGEC","CAPPG - Res 49",IF($B8="OUTROS","DIREÇÃO","")))))="PPGE")*ApoioJ+((IFERROR(INDEX(ApoioA,MATCH($B8,ApoioB,0)),IF(COUNTIF(ApoioA,$B8)&gt;0,$B8,IF($B8="RESOLUÇÃO 049/2022-CONSUNI/CPPGEC","CAPPG - Res 49",IF($B8="OUTROS","DIREÇÃO","")))))="PPGEL")*ApoioK+((IFERROR(INDEX(ApoioA,MATCH($B8,ApoioB,0)),IF(COUNTIF(ApoioA,$B8)&gt;0,$B8,IF($B8="RESOLUÇÃO 049/2022-CONSUNI/CPPGEC","CAPPG - Res 49",IF($B8="OUTROS","DIREÇÃO","")))))="PPGH/PPGDH")*ApoioL)),--ISNUMBER(ApoioD))=0,"Pendente",SUMPRODUCT((--(ApoioA&lt;&gt;"")*--(((ApoioA=(IFERROR(INDEX(ApoioA,MATCH($B8,ApoioB,0)),IF(COUNTIF(ApoioA,$B8)&gt;0,$B8,IF($B8="RESOLUÇÃO 049/2022-CONSUNI/CPPGEC","CAPPG - Res 49",IF($B8="OUTROS","DIREÇÃO",""))))))+((IFERROR(INDEX(ApoioA,MATCH($B8,ApoioB,0)),IF(COUNTIF(ApoioA,$B8)&gt;0,$B8,IF($B8="RESOLUÇÃO 049/2022-CONSUNI/CPPGEC","CAPPG - Res 49",IF($B8="OUTROS","DIREÇÃO","")))))="DIREÇÃO")*(LEFT(ApoioA,9)="DIREÇÃO -"))&gt;0))+(--(ApoioA="PPGEL +")*(((IFERROR(INDEX(ApoioA,MATCH($B8,ApoioB,0)),IF(COUNTIF(ApoioA,$B8)&gt;0,$B8,IF($B8="RESOLUÇÃO 049/2022-CONSUNI/CPPGEC","CAPPG - Res 49",IF($B8="OUTROS","DIREÇÃO","")))))="PPGE")*ApoioJ+((IFERROR(INDEX(ApoioA,MATCH($B8,ApoioB,0)),IF(COUNTIF(ApoioA,$B8)&gt;0,$B8,IF($B8="RESOLUÇÃO 049/2022-CONSUNI/CPPGEC","CAPPG - Res 49",IF($B8="OUTROS","DIREÇÃO","")))))="PPGEL")*ApoioK+((IFERROR(INDEX(ApoioA,MATCH($B8,ApoioB,0)),IF(COUNTIF(ApoioA,$B8)&gt;0,$B8,IF($B8="RESOLUÇÃO 049/2022-CONSUNI/CPPGEC","CAPPG - Res 49",IF($B8="OUTROS","DIREÇÃO","")))))="PPGH/PPGDH")*ApoioL)),ApoioD))</f>
        <v/>
      </c>
      <c r="F8" s="89">
        <f>IF(SUMPRODUCT((--(ApoioA&lt;&gt;"")*--(((ApoioA=(IFERROR(INDEX(ApoioA,MATCH($B8,ApoioB,0)),IF(COUNTIF(ApoioA,$B8)&gt;0,$B8,IF($B8="RESOLUÇÃO 049/2022-CONSUNI/CPPGEC","CAPPG - Res 49",IF($B8="OUTROS","DIREÇÃO",""))))))+((IFERROR(INDEX(ApoioA,MATCH($B8,ApoioB,0)),IF(COUNTIF(ApoioA,$B8)&gt;0,$B8,IF($B8="RESOLUÇÃO 049/2022-CONSUNI/CPPGEC","CAPPG - Res 49",IF($B8="OUTROS","DIREÇÃO","")))))="DIREÇÃO")*(LEFT(ApoioA,9)="DIREÇÃO -"))&gt;0))+(--(ApoioA="PPGEL +")*(((IFERROR(INDEX(ApoioA,MATCH($B8,ApoioB,0)),IF(COUNTIF(ApoioA,$B8)&gt;0,$B8,IF($B8="RESOLUÇÃO 049/2022-CONSUNI/CPPGEC","CAPPG - Res 49",IF($B8="OUTROS","DIREÇÃO","")))))="PPGE")*ApoioJ+((IFERROR(INDEX(ApoioA,MATCH($B8,ApoioB,0)),IF(COUNTIF(ApoioA,$B8)&gt;0,$B8,IF($B8="RESOLUÇÃO 049/2022-CONSUNI/CPPGEC","CAPPG - Res 49",IF($B8="OUTROS","DIREÇÃO","")))))="PPGEL")*ApoioK+((IFERROR(INDEX(ApoioA,MATCH($B8,ApoioB,0)),IF(COUNTIF(ApoioA,$B8)&gt;0,$B8,IF($B8="RESOLUÇÃO 049/2022-CONSUNI/CPPGEC","CAPPG - Res 49",IF($B8="OUTROS","DIREÇÃO","")))))="PPGH/PPGDH")*ApoioL)),COUNTIFS(ViagensM,ApoioA,ViagensC,"Cancelada",ViagensN,""))&gt;0,"Pendente",SUMPRODUCT((--(ApoioA&lt;&gt;"")*--(((ApoioA=(IFERROR(INDEX(ApoioA,MATCH($B8,ApoioB,0)),IF(COUNTIF(ApoioA,$B8)&gt;0,$B8,IF($B8="RESOLUÇÃO 049/2022-CONSUNI/CPPGEC","CAPPG - Res 49",IF($B8="OUTROS","DIREÇÃO",""))))))+((IFERROR(INDEX(ApoioA,MATCH($B8,ApoioB,0)),IF(COUNTIF(ApoioA,$B8)&gt;0,$B8,IF($B8="RESOLUÇÃO 049/2022-CONSUNI/CPPGEC","CAPPG - Res 49",IF($B8="OUTROS","DIREÇÃO","")))))="DIREÇÃO")*(LEFT(ApoioA,9)="DIREÇÃO -"))&gt;0))+(--(ApoioA="PPGEL +")*(((IFERROR(INDEX(ApoioA,MATCH($B8,ApoioB,0)),IF(COUNTIF(ApoioA,$B8)&gt;0,$B8,IF($B8="RESOLUÇÃO 049/2022-CONSUNI/CPPGEC","CAPPG - Res 49",IF($B8="OUTROS","DIREÇÃO","")))))="PPGE")*ApoioJ+((IFERROR(INDEX(ApoioA,MATCH($B8,ApoioB,0)),IF(COUNTIF(ApoioA,$B8)&gt;0,$B8,IF($B8="RESOLUÇÃO 049/2022-CONSUNI/CPPGEC","CAPPG - Res 49",IF($B8="OUTROS","DIREÇÃO","")))))="PPGEL")*ApoioK+((IFERROR(INDEX(ApoioA,MATCH($B8,ApoioB,0)),IF(COUNTIF(ApoioA,$B8)&gt;0,$B8,IF($B8="RESOLUÇÃO 049/2022-CONSUNI/CPPGEC","CAPPG - Res 49",IF($B8="OUTROS","DIREÇÃO","")))))="PPGH/PPGDH")*ApoioL)),(SUMIFS(ViagensK,ViagensM,ApoioA,ViagensC,"&lt;&gt;Cancelada")+SUMIFS(ViagensK,ViagensM,ApoioA,ViagensC,"Cancelada",ViagensN,"Sim"))))</f>
        <v/>
      </c>
      <c r="G8" s="89">
        <f>IF(AND(ISNUMBER(E8),ISNUMBER(F8)),E8-F8,"Pendente")</f>
        <v/>
      </c>
      <c r="H8" s="70" t="n"/>
      <c r="I8" s="88">
        <f>IF(SUMPRODUCT((--(ApoioA&lt;&gt;"")*--(((ApoioA=(IFERROR(INDEX(ApoioA,MATCH($B8,ApoioB,0)),IF(COUNTIF(ApoioA,$B8)&gt;0,$B8,IF($B8="RESOLUÇÃO 049/2022-CONSUNI/CPPGEC","CAPPG - Res 49",IF($B8="OUTROS","DIREÇÃO",""))))))+((IFERROR(INDEX(ApoioA,MATCH($B8,ApoioB,0)),IF(COUNTIF(ApoioA,$B8)&gt;0,$B8,IF($B8="RESOLUÇÃO 049/2022-CONSUNI/CPPGEC","CAPPG - Res 49",IF($B8="OUTROS","DIREÇÃO","")))))="DIREÇÃO")*(LEFT(ApoioA,9)="DIREÇÃO -"))&gt;0))+(--(ApoioA="PPGEL +")*(((IFERROR(INDEX(ApoioA,MATCH($B8,ApoioB,0)),IF(COUNTIF(ApoioA,$B8)&gt;0,$B8,IF($B8="RESOLUÇÃO 049/2022-CONSUNI/CPPGEC","CAPPG - Res 49",IF($B8="OUTROS","DIREÇÃO","")))))="PPGE")*ApoioJ+((IFERROR(INDEX(ApoioA,MATCH($B8,ApoioB,0)),IF(COUNTIF(ApoioA,$B8)&gt;0,$B8,IF($B8="RESOLUÇÃO 049/2022-CONSUNI/CPPGEC","CAPPG - Res 49",IF($B8="OUTROS","DIREÇÃO","")))))="PPGEL")*ApoioK+((IFERROR(INDEX(ApoioA,MATCH($B8,ApoioB,0)),IF(COUNTIF(ApoioA,$B8)&gt;0,$B8,IF($B8="RESOLUÇÃO 049/2022-CONSUNI/CPPGEC","CAPPG - Res 49",IF($B8="OUTROS","DIREÇÃO","")))))="PPGH/PPGDH")*ApoioL)),--ISNUMBER(ApoioE))=0,"Pendente",SUMPRODUCT((--(ApoioA&lt;&gt;"")*--(((ApoioA=(IFERROR(INDEX(ApoioA,MATCH($B8,ApoioB,0)),IF(COUNTIF(ApoioA,$B8)&gt;0,$B8,IF($B8="RESOLUÇÃO 049/2022-CONSUNI/CPPGEC","CAPPG - Res 49",IF($B8="OUTROS","DIREÇÃO",""))))))+((IFERROR(INDEX(ApoioA,MATCH($B8,ApoioB,0)),IF(COUNTIF(ApoioA,$B8)&gt;0,$B8,IF($B8="RESOLUÇÃO 049/2022-CONSUNI/CPPGEC","CAPPG - Res 49",IF($B8="OUTROS","DIREÇÃO","")))))="DIREÇÃO")*(LEFT(ApoioA,9)="DIREÇÃO -"))&gt;0))+(--(ApoioA="PPGEL +")*(((IFERROR(INDEX(ApoioA,MATCH($B8,ApoioB,0)),IF(COUNTIF(ApoioA,$B8)&gt;0,$B8,IF($B8="RESOLUÇÃO 049/2022-CONSUNI/CPPGEC","CAPPG - Res 49",IF($B8="OUTROS","DIREÇÃO","")))))="PPGE")*ApoioJ+((IFERROR(INDEX(ApoioA,MATCH($B8,ApoioB,0)),IF(COUNTIF(ApoioA,$B8)&gt;0,$B8,IF($B8="RESOLUÇÃO 049/2022-CONSUNI/CPPGEC","CAPPG - Res 49",IF($B8="OUTROS","DIREÇÃO","")))))="PPGEL")*ApoioK+((IFERROR(INDEX(ApoioA,MATCH($B8,ApoioB,0)),IF(COUNTIF(ApoioA,$B8)&gt;0,$B8,IF($B8="RESOLUÇÃO 049/2022-CONSUNI/CPPGEC","CAPPG - Res 49",IF($B8="OUTROS","DIREÇÃO","")))))="PPGH/PPGDH")*ApoioL)),ApoioE))</f>
        <v/>
      </c>
      <c r="J8" s="89">
        <f>IF(SUMPRODUCT((--(ApoioA&lt;&gt;"")*--(((ApoioA=(IFERROR(INDEX(ApoioA,MATCH($B8,ApoioB,0)),IF(COUNTIF(ApoioA,$B8)&gt;0,$B8,IF($B8="RESOLUÇÃO 049/2022-CONSUNI/CPPGEC","CAPPG - Res 49",IF($B8="OUTROS","DIREÇÃO",""))))))+((IFERROR(INDEX(ApoioA,MATCH($B8,ApoioB,0)),IF(COUNTIF(ApoioA,$B8)&gt;0,$B8,IF($B8="RESOLUÇÃO 049/2022-CONSUNI/CPPGEC","CAPPG - Res 49",IF($B8="OUTROS","DIREÇÃO","")))))="DIREÇÃO")*(LEFT(ApoioA,9)="DIREÇÃO -"))&gt;0))+(--(ApoioA="PPGEL +")*(((IFERROR(INDEX(ApoioA,MATCH($B8,ApoioB,0)),IF(COUNTIF(ApoioA,$B8)&gt;0,$B8,IF($B8="RESOLUÇÃO 049/2022-CONSUNI/CPPGEC","CAPPG - Res 49",IF($B8="OUTROS","DIREÇÃO","")))))="PPGE")*ApoioJ+((IFERROR(INDEX(ApoioA,MATCH($B8,ApoioB,0)),IF(COUNTIF(ApoioA,$B8)&gt;0,$B8,IF($B8="RESOLUÇÃO 049/2022-CONSUNI/CPPGEC","CAPPG - Res 49",IF($B8="OUTROS","DIREÇÃO","")))))="PPGEL")*ApoioK+((IFERROR(INDEX(ApoioA,MATCH($B8,ApoioB,0)),IF(COUNTIF(ApoioA,$B8)&gt;0,$B8,IF($B8="RESOLUÇÃO 049/2022-CONSUNI/CPPGEC","CAPPG - Res 49",IF($B8="OUTROS","DIREÇÃO","")))))="PPGH/PPGDH")*ApoioL)),--ISNUMBER(ApoioG))=0,"Pendente",SUMPRODUCT((--(ApoioA&lt;&gt;"")*--(((ApoioA=(IFERROR(INDEX(ApoioA,MATCH($B8,ApoioB,0)),IF(COUNTIF(ApoioA,$B8)&gt;0,$B8,IF($B8="RESOLUÇÃO 049/2022-CONSUNI/CPPGEC","CAPPG - Res 49",IF($B8="OUTROS","DIREÇÃO",""))))))+((IFERROR(INDEX(ApoioA,MATCH($B8,ApoioB,0)),IF(COUNTIF(ApoioA,$B8)&gt;0,$B8,IF($B8="RESOLUÇÃO 049/2022-CONSUNI/CPPGEC","CAPPG - Res 49",IF($B8="OUTROS","DIREÇÃO","")))))="DIREÇÃO")*(LEFT(ApoioA,9)="DIREÇÃO -"))&gt;0))+(--(ApoioA="PPGEL +")*(((IFERROR(INDEX(ApoioA,MATCH($B8,ApoioB,0)),IF(COUNTIF(ApoioA,$B8)&gt;0,$B8,IF($B8="RESOLUÇÃO 049/2022-CONSUNI/CPPGEC","CAPPG - Res 49",IF($B8="OUTROS","DIREÇÃO","")))))="PPGE")*ApoioJ+((IFERROR(INDEX(ApoioA,MATCH($B8,ApoioB,0)),IF(COUNTIF(ApoioA,$B8)&gt;0,$B8,IF($B8="RESOLUÇÃO 049/2022-CONSUNI/CPPGEC","CAPPG - Res 49",IF($B8="OUTROS","DIREÇÃO","")))))="PPGEL")*ApoioK+((IFERROR(INDEX(ApoioA,MATCH($B8,ApoioB,0)),IF(COUNTIF(ApoioA,$B8)&gt;0,$B8,IF($B8="RESOLUÇÃO 049/2022-CONSUNI/CPPGEC","CAPPG - Res 49",IF($B8="OUTROS","DIREÇÃO","")))))="PPGH/PPGDH")*ApoioL)),ApoioG))</f>
        <v/>
      </c>
      <c r="K8" s="89">
        <f>IF(AND(ISNUMBER(I8),ISNUMBER(J8)),I8-J8,"Pendente")</f>
        <v/>
      </c>
      <c r="L8" s="70" t="n"/>
      <c r="M8" s="89">
        <f>IF(AND(ISNUMBER(G8),ISNUMBER(K8)),G8+K8,"Pendente")</f>
        <v/>
      </c>
      <c r="O8" s="67" t="inlineStr">
        <is>
          <t>Grupo principal</t>
        </is>
      </c>
      <c r="P8" s="67">
        <f>B8</f>
        <v/>
      </c>
    </row>
    <row r="9" ht="15" customHeight="1" s="61">
      <c r="A9" s="69" t="n"/>
      <c r="B9" s="87" t="inlineStr">
        <is>
          <t>Ciência da Computação</t>
        </is>
      </c>
      <c r="C9" s="88">
        <f>IF(AND(ISNUMBER(E9),ISNUMBER(I9)),E9+I9,"Pendente")</f>
        <v/>
      </c>
      <c r="D9" s="70" t="n"/>
      <c r="E9" s="88">
        <f>IF(SUMPRODUCT((--(ApoioA&lt;&gt;"")*--(((ApoioA=(IFERROR(INDEX(ApoioA,MATCH($B9,ApoioB,0)),IF(COUNTIF(ApoioA,$B9)&gt;0,$B9,IF($B9="RESOLUÇÃO 049/2022-CONSUNI/CPPGEC","CAPPG - Res 49",IF($B9="OUTROS","DIREÇÃO",""))))))+((IFERROR(INDEX(ApoioA,MATCH($B9,ApoioB,0)),IF(COUNTIF(ApoioA,$B9)&gt;0,$B9,IF($B9="RESOLUÇÃO 049/2022-CONSUNI/CPPGEC","CAPPG - Res 49",IF($B9="OUTROS","DIREÇÃO","")))))="DIREÇÃO")*(LEFT(ApoioA,9)="DIREÇÃO -"))&gt;0))+(--(ApoioA="PPGEL +")*(((IFERROR(INDEX(ApoioA,MATCH($B9,ApoioB,0)),IF(COUNTIF(ApoioA,$B9)&gt;0,$B9,IF($B9="RESOLUÇÃO 049/2022-CONSUNI/CPPGEC","CAPPG - Res 49",IF($B9="OUTROS","DIREÇÃO","")))))="PPGE")*ApoioJ+((IFERROR(INDEX(ApoioA,MATCH($B9,ApoioB,0)),IF(COUNTIF(ApoioA,$B9)&gt;0,$B9,IF($B9="RESOLUÇÃO 049/2022-CONSUNI/CPPGEC","CAPPG - Res 49",IF($B9="OUTROS","DIREÇÃO","")))))="PPGEL")*ApoioK+((IFERROR(INDEX(ApoioA,MATCH($B9,ApoioB,0)),IF(COUNTIF(ApoioA,$B9)&gt;0,$B9,IF($B9="RESOLUÇÃO 049/2022-CONSUNI/CPPGEC","CAPPG - Res 49",IF($B9="OUTROS","DIREÇÃO","")))))="PPGH/PPGDH")*ApoioL)),--ISNUMBER(ApoioD))=0,"Pendente",SUMPRODUCT((--(ApoioA&lt;&gt;"")*--(((ApoioA=(IFERROR(INDEX(ApoioA,MATCH($B9,ApoioB,0)),IF(COUNTIF(ApoioA,$B9)&gt;0,$B9,IF($B9="RESOLUÇÃO 049/2022-CONSUNI/CPPGEC","CAPPG - Res 49",IF($B9="OUTROS","DIREÇÃO",""))))))+((IFERROR(INDEX(ApoioA,MATCH($B9,ApoioB,0)),IF(COUNTIF(ApoioA,$B9)&gt;0,$B9,IF($B9="RESOLUÇÃO 049/2022-CONSUNI/CPPGEC","CAPPG - Res 49",IF($B9="OUTROS","DIREÇÃO","")))))="DIREÇÃO")*(LEFT(ApoioA,9)="DIREÇÃO -"))&gt;0))+(--(ApoioA="PPGEL +")*(((IFERROR(INDEX(ApoioA,MATCH($B9,ApoioB,0)),IF(COUNTIF(ApoioA,$B9)&gt;0,$B9,IF($B9="RESOLUÇÃO 049/2022-CONSUNI/CPPGEC","CAPPG - Res 49",IF($B9="OUTROS","DIREÇÃO","")))))="PPGE")*ApoioJ+((IFERROR(INDEX(ApoioA,MATCH($B9,ApoioB,0)),IF(COUNTIF(ApoioA,$B9)&gt;0,$B9,IF($B9="RESOLUÇÃO 049/2022-CONSUNI/CPPGEC","CAPPG - Res 49",IF($B9="OUTROS","DIREÇÃO","")))))="PPGEL")*ApoioK+((IFERROR(INDEX(ApoioA,MATCH($B9,ApoioB,0)),IF(COUNTIF(ApoioA,$B9)&gt;0,$B9,IF($B9="RESOLUÇÃO 049/2022-CONSUNI/CPPGEC","CAPPG - Res 49",IF($B9="OUTROS","DIREÇÃO","")))))="PPGH/PPGDH")*ApoioL)),ApoioD))</f>
        <v/>
      </c>
      <c r="F9" s="89">
        <f>IF(SUMPRODUCT((--(ApoioA&lt;&gt;"")*--(((ApoioA=(IFERROR(INDEX(ApoioA,MATCH($B9,ApoioB,0)),IF(COUNTIF(ApoioA,$B9)&gt;0,$B9,IF($B9="RESOLUÇÃO 049/2022-CONSUNI/CPPGEC","CAPPG - Res 49",IF($B9="OUTROS","DIREÇÃO",""))))))+((IFERROR(INDEX(ApoioA,MATCH($B9,ApoioB,0)),IF(COUNTIF(ApoioA,$B9)&gt;0,$B9,IF($B9="RESOLUÇÃO 049/2022-CONSUNI/CPPGEC","CAPPG - Res 49",IF($B9="OUTROS","DIREÇÃO","")))))="DIREÇÃO")*(LEFT(ApoioA,9)="DIREÇÃO -"))&gt;0))+(--(ApoioA="PPGEL +")*(((IFERROR(INDEX(ApoioA,MATCH($B9,ApoioB,0)),IF(COUNTIF(ApoioA,$B9)&gt;0,$B9,IF($B9="RESOLUÇÃO 049/2022-CONSUNI/CPPGEC","CAPPG - Res 49",IF($B9="OUTROS","DIREÇÃO","")))))="PPGE")*ApoioJ+((IFERROR(INDEX(ApoioA,MATCH($B9,ApoioB,0)),IF(COUNTIF(ApoioA,$B9)&gt;0,$B9,IF($B9="RESOLUÇÃO 049/2022-CONSUNI/CPPGEC","CAPPG - Res 49",IF($B9="OUTROS","DIREÇÃO","")))))="PPGEL")*ApoioK+((IFERROR(INDEX(ApoioA,MATCH($B9,ApoioB,0)),IF(COUNTIF(ApoioA,$B9)&gt;0,$B9,IF($B9="RESOLUÇÃO 049/2022-CONSUNI/CPPGEC","CAPPG - Res 49",IF($B9="OUTROS","DIREÇÃO","")))))="PPGH/PPGDH")*ApoioL)),COUNTIFS(ViagensM,ApoioA,ViagensC,"Cancelada",ViagensN,""))&gt;0,"Pendente",SUMPRODUCT((--(ApoioA&lt;&gt;"")*--(((ApoioA=(IFERROR(INDEX(ApoioA,MATCH($B9,ApoioB,0)),IF(COUNTIF(ApoioA,$B9)&gt;0,$B9,IF($B9="RESOLUÇÃO 049/2022-CONSUNI/CPPGEC","CAPPG - Res 49",IF($B9="OUTROS","DIREÇÃO",""))))))+((IFERROR(INDEX(ApoioA,MATCH($B9,ApoioB,0)),IF(COUNTIF(ApoioA,$B9)&gt;0,$B9,IF($B9="RESOLUÇÃO 049/2022-CONSUNI/CPPGEC","CAPPG - Res 49",IF($B9="OUTROS","DIREÇÃO","")))))="DIREÇÃO")*(LEFT(ApoioA,9)="DIREÇÃO -"))&gt;0))+(--(ApoioA="PPGEL +")*(((IFERROR(INDEX(ApoioA,MATCH($B9,ApoioB,0)),IF(COUNTIF(ApoioA,$B9)&gt;0,$B9,IF($B9="RESOLUÇÃO 049/2022-CONSUNI/CPPGEC","CAPPG - Res 49",IF($B9="OUTROS","DIREÇÃO","")))))="PPGE")*ApoioJ+((IFERROR(INDEX(ApoioA,MATCH($B9,ApoioB,0)),IF(COUNTIF(ApoioA,$B9)&gt;0,$B9,IF($B9="RESOLUÇÃO 049/2022-CONSUNI/CPPGEC","CAPPG - Res 49",IF($B9="OUTROS","DIREÇÃO","")))))="PPGEL")*ApoioK+((IFERROR(INDEX(ApoioA,MATCH($B9,ApoioB,0)),IF(COUNTIF(ApoioA,$B9)&gt;0,$B9,IF($B9="RESOLUÇÃO 049/2022-CONSUNI/CPPGEC","CAPPG - Res 49",IF($B9="OUTROS","DIREÇÃO","")))))="PPGH/PPGDH")*ApoioL)),(SUMIFS(ViagensK,ViagensM,ApoioA,ViagensC,"&lt;&gt;Cancelada")+SUMIFS(ViagensK,ViagensM,ApoioA,ViagensC,"Cancelada",ViagensN,"Sim"))))</f>
        <v/>
      </c>
      <c r="G9" s="89">
        <f>IF(AND(ISNUMBER(E9),ISNUMBER(F9)),E9-F9,"Pendente")</f>
        <v/>
      </c>
      <c r="H9" s="70" t="n"/>
      <c r="I9" s="88">
        <f>IF(SUMPRODUCT((--(ApoioA&lt;&gt;"")*--(((ApoioA=(IFERROR(INDEX(ApoioA,MATCH($B9,ApoioB,0)),IF(COUNTIF(ApoioA,$B9)&gt;0,$B9,IF($B9="RESOLUÇÃO 049/2022-CONSUNI/CPPGEC","CAPPG - Res 49",IF($B9="OUTROS","DIREÇÃO",""))))))+((IFERROR(INDEX(ApoioA,MATCH($B9,ApoioB,0)),IF(COUNTIF(ApoioA,$B9)&gt;0,$B9,IF($B9="RESOLUÇÃO 049/2022-CONSUNI/CPPGEC","CAPPG - Res 49",IF($B9="OUTROS","DIREÇÃO","")))))="DIREÇÃO")*(LEFT(ApoioA,9)="DIREÇÃO -"))&gt;0))+(--(ApoioA="PPGEL +")*(((IFERROR(INDEX(ApoioA,MATCH($B9,ApoioB,0)),IF(COUNTIF(ApoioA,$B9)&gt;0,$B9,IF($B9="RESOLUÇÃO 049/2022-CONSUNI/CPPGEC","CAPPG - Res 49",IF($B9="OUTROS","DIREÇÃO","")))))="PPGE")*ApoioJ+((IFERROR(INDEX(ApoioA,MATCH($B9,ApoioB,0)),IF(COUNTIF(ApoioA,$B9)&gt;0,$B9,IF($B9="RESOLUÇÃO 049/2022-CONSUNI/CPPGEC","CAPPG - Res 49",IF($B9="OUTROS","DIREÇÃO","")))))="PPGEL")*ApoioK+((IFERROR(INDEX(ApoioA,MATCH($B9,ApoioB,0)),IF(COUNTIF(ApoioA,$B9)&gt;0,$B9,IF($B9="RESOLUÇÃO 049/2022-CONSUNI/CPPGEC","CAPPG - Res 49",IF($B9="OUTROS","DIREÇÃO","")))))="PPGH/PPGDH")*ApoioL)),--ISNUMBER(ApoioE))=0,"Pendente",SUMPRODUCT((--(ApoioA&lt;&gt;"")*--(((ApoioA=(IFERROR(INDEX(ApoioA,MATCH($B9,ApoioB,0)),IF(COUNTIF(ApoioA,$B9)&gt;0,$B9,IF($B9="RESOLUÇÃO 049/2022-CONSUNI/CPPGEC","CAPPG - Res 49",IF($B9="OUTROS","DIREÇÃO",""))))))+((IFERROR(INDEX(ApoioA,MATCH($B9,ApoioB,0)),IF(COUNTIF(ApoioA,$B9)&gt;0,$B9,IF($B9="RESOLUÇÃO 049/2022-CONSUNI/CPPGEC","CAPPG - Res 49",IF($B9="OUTROS","DIREÇÃO","")))))="DIREÇÃO")*(LEFT(ApoioA,9)="DIREÇÃO -"))&gt;0))+(--(ApoioA="PPGEL +")*(((IFERROR(INDEX(ApoioA,MATCH($B9,ApoioB,0)),IF(COUNTIF(ApoioA,$B9)&gt;0,$B9,IF($B9="RESOLUÇÃO 049/2022-CONSUNI/CPPGEC","CAPPG - Res 49",IF($B9="OUTROS","DIREÇÃO","")))))="PPGE")*ApoioJ+((IFERROR(INDEX(ApoioA,MATCH($B9,ApoioB,0)),IF(COUNTIF(ApoioA,$B9)&gt;0,$B9,IF($B9="RESOLUÇÃO 049/2022-CONSUNI/CPPGEC","CAPPG - Res 49",IF($B9="OUTROS","DIREÇÃO","")))))="PPGEL")*ApoioK+((IFERROR(INDEX(ApoioA,MATCH($B9,ApoioB,0)),IF(COUNTIF(ApoioA,$B9)&gt;0,$B9,IF($B9="RESOLUÇÃO 049/2022-CONSUNI/CPPGEC","CAPPG - Res 49",IF($B9="OUTROS","DIREÇÃO","")))))="PPGH/PPGDH")*ApoioL)),ApoioE))</f>
        <v/>
      </c>
      <c r="J9" s="89">
        <f>IF(SUMPRODUCT((--(ApoioA&lt;&gt;"")*--(((ApoioA=(IFERROR(INDEX(ApoioA,MATCH($B9,ApoioB,0)),IF(COUNTIF(ApoioA,$B9)&gt;0,$B9,IF($B9="RESOLUÇÃO 049/2022-CONSUNI/CPPGEC","CAPPG - Res 49",IF($B9="OUTROS","DIREÇÃO",""))))))+((IFERROR(INDEX(ApoioA,MATCH($B9,ApoioB,0)),IF(COUNTIF(ApoioA,$B9)&gt;0,$B9,IF($B9="RESOLUÇÃO 049/2022-CONSUNI/CPPGEC","CAPPG - Res 49",IF($B9="OUTROS","DIREÇÃO","")))))="DIREÇÃO")*(LEFT(ApoioA,9)="DIREÇÃO -"))&gt;0))+(--(ApoioA="PPGEL +")*(((IFERROR(INDEX(ApoioA,MATCH($B9,ApoioB,0)),IF(COUNTIF(ApoioA,$B9)&gt;0,$B9,IF($B9="RESOLUÇÃO 049/2022-CONSUNI/CPPGEC","CAPPG - Res 49",IF($B9="OUTROS","DIREÇÃO","")))))="PPGE")*ApoioJ+((IFERROR(INDEX(ApoioA,MATCH($B9,ApoioB,0)),IF(COUNTIF(ApoioA,$B9)&gt;0,$B9,IF($B9="RESOLUÇÃO 049/2022-CONSUNI/CPPGEC","CAPPG - Res 49",IF($B9="OUTROS","DIREÇÃO","")))))="PPGEL")*ApoioK+((IFERROR(INDEX(ApoioA,MATCH($B9,ApoioB,0)),IF(COUNTIF(ApoioA,$B9)&gt;0,$B9,IF($B9="RESOLUÇÃO 049/2022-CONSUNI/CPPGEC","CAPPG - Res 49",IF($B9="OUTROS","DIREÇÃO","")))))="PPGH/PPGDH")*ApoioL)),--ISNUMBER(ApoioG))=0,"Pendente",SUMPRODUCT((--(ApoioA&lt;&gt;"")*--(((ApoioA=(IFERROR(INDEX(ApoioA,MATCH($B9,ApoioB,0)),IF(COUNTIF(ApoioA,$B9)&gt;0,$B9,IF($B9="RESOLUÇÃO 049/2022-CONSUNI/CPPGEC","CAPPG - Res 49",IF($B9="OUTROS","DIREÇÃO",""))))))+((IFERROR(INDEX(ApoioA,MATCH($B9,ApoioB,0)),IF(COUNTIF(ApoioA,$B9)&gt;0,$B9,IF($B9="RESOLUÇÃO 049/2022-CONSUNI/CPPGEC","CAPPG - Res 49",IF($B9="OUTROS","DIREÇÃO","")))))="DIREÇÃO")*(LEFT(ApoioA,9)="DIREÇÃO -"))&gt;0))+(--(ApoioA="PPGEL +")*(((IFERROR(INDEX(ApoioA,MATCH($B9,ApoioB,0)),IF(COUNTIF(ApoioA,$B9)&gt;0,$B9,IF($B9="RESOLUÇÃO 049/2022-CONSUNI/CPPGEC","CAPPG - Res 49",IF($B9="OUTROS","DIREÇÃO","")))))="PPGE")*ApoioJ+((IFERROR(INDEX(ApoioA,MATCH($B9,ApoioB,0)),IF(COUNTIF(ApoioA,$B9)&gt;0,$B9,IF($B9="RESOLUÇÃO 049/2022-CONSUNI/CPPGEC","CAPPG - Res 49",IF($B9="OUTROS","DIREÇÃO","")))))="PPGEL")*ApoioK+((IFERROR(INDEX(ApoioA,MATCH($B9,ApoioB,0)),IF(COUNTIF(ApoioA,$B9)&gt;0,$B9,IF($B9="RESOLUÇÃO 049/2022-CONSUNI/CPPGEC","CAPPG - Res 49",IF($B9="OUTROS","DIREÇÃO","")))))="PPGH/PPGDH")*ApoioL)),ApoioG))</f>
        <v/>
      </c>
      <c r="K9" s="89">
        <f>IF(AND(ISNUMBER(I9),ISNUMBER(J9)),I9-J9,"Pendente")</f>
        <v/>
      </c>
      <c r="L9" s="70" t="n"/>
      <c r="M9" s="89">
        <f>IF(AND(ISNUMBER(G9),ISNUMBER(K9)),G9+K9,"Pendente")</f>
        <v/>
      </c>
      <c r="O9" s="67" t="inlineStr">
        <is>
          <t>Grupo principal</t>
        </is>
      </c>
      <c r="P9" s="67">
        <f>B9</f>
        <v/>
      </c>
    </row>
    <row r="10" ht="15" customHeight="1" s="61">
      <c r="A10" s="69" t="n"/>
      <c r="B10" s="90" t="inlineStr">
        <is>
          <t>Ciências Econômicas</t>
        </is>
      </c>
      <c r="C10" s="91">
        <f>IF(AND(ISNUMBER(E10),ISNUMBER(I10)),E10+I10,"Pendente")</f>
        <v/>
      </c>
      <c r="D10" s="70" t="n"/>
      <c r="E10" s="91">
        <f>IF(SUMPRODUCT((--(ApoioA&lt;&gt;"")*--(((ApoioA=(IFERROR(INDEX(ApoioA,MATCH($B10,ApoioB,0)),IF(COUNTIF(ApoioA,$B10)&gt;0,$B10,IF($B10="RESOLUÇÃO 049/2022-CONSUNI/CPPGEC","CAPPG - Res 49",IF($B10="OUTROS","DIREÇÃO",""))))))+((IFERROR(INDEX(ApoioA,MATCH($B10,ApoioB,0)),IF(COUNTIF(ApoioA,$B10)&gt;0,$B10,IF($B10="RESOLUÇÃO 049/2022-CONSUNI/CPPGEC","CAPPG - Res 49",IF($B10="OUTROS","DIREÇÃO","")))))="DIREÇÃO")*(LEFT(ApoioA,9)="DIREÇÃO -"))&gt;0))+(--(ApoioA="PPGEL +")*(((IFERROR(INDEX(ApoioA,MATCH($B10,ApoioB,0)),IF(COUNTIF(ApoioA,$B10)&gt;0,$B10,IF($B10="RESOLUÇÃO 049/2022-CONSUNI/CPPGEC","CAPPG - Res 49",IF($B10="OUTROS","DIREÇÃO","")))))="PPGE")*ApoioJ+((IFERROR(INDEX(ApoioA,MATCH($B10,ApoioB,0)),IF(COUNTIF(ApoioA,$B10)&gt;0,$B10,IF($B10="RESOLUÇÃO 049/2022-CONSUNI/CPPGEC","CAPPG - Res 49",IF($B10="OUTROS","DIREÇÃO","")))))="PPGEL")*ApoioK+((IFERROR(INDEX(ApoioA,MATCH($B10,ApoioB,0)),IF(COUNTIF(ApoioA,$B10)&gt;0,$B10,IF($B10="RESOLUÇÃO 049/2022-CONSUNI/CPPGEC","CAPPG - Res 49",IF($B10="OUTROS","DIREÇÃO","")))))="PPGH/PPGDH")*ApoioL)),--ISNUMBER(ApoioD))=0,"Pendente",SUMPRODUCT((--(ApoioA&lt;&gt;"")*--(((ApoioA=(IFERROR(INDEX(ApoioA,MATCH($B10,ApoioB,0)),IF(COUNTIF(ApoioA,$B10)&gt;0,$B10,IF($B10="RESOLUÇÃO 049/2022-CONSUNI/CPPGEC","CAPPG - Res 49",IF($B10="OUTROS","DIREÇÃO",""))))))+((IFERROR(INDEX(ApoioA,MATCH($B10,ApoioB,0)),IF(COUNTIF(ApoioA,$B10)&gt;0,$B10,IF($B10="RESOLUÇÃO 049/2022-CONSUNI/CPPGEC","CAPPG - Res 49",IF($B10="OUTROS","DIREÇÃO","")))))="DIREÇÃO")*(LEFT(ApoioA,9)="DIREÇÃO -"))&gt;0))+(--(ApoioA="PPGEL +")*(((IFERROR(INDEX(ApoioA,MATCH($B10,ApoioB,0)),IF(COUNTIF(ApoioA,$B10)&gt;0,$B10,IF($B10="RESOLUÇÃO 049/2022-CONSUNI/CPPGEC","CAPPG - Res 49",IF($B10="OUTROS","DIREÇÃO","")))))="PPGE")*ApoioJ+((IFERROR(INDEX(ApoioA,MATCH($B10,ApoioB,0)),IF(COUNTIF(ApoioA,$B10)&gt;0,$B10,IF($B10="RESOLUÇÃO 049/2022-CONSUNI/CPPGEC","CAPPG - Res 49",IF($B10="OUTROS","DIREÇÃO","")))))="PPGEL")*ApoioK+((IFERROR(INDEX(ApoioA,MATCH($B10,ApoioB,0)),IF(COUNTIF(ApoioA,$B10)&gt;0,$B10,IF($B10="RESOLUÇÃO 049/2022-CONSUNI/CPPGEC","CAPPG - Res 49",IF($B10="OUTROS","DIREÇÃO","")))))="PPGH/PPGDH")*ApoioL)),ApoioD))</f>
        <v/>
      </c>
      <c r="F10" s="92">
        <f>IF(SUMPRODUCT((--(ApoioA&lt;&gt;"")*--(((ApoioA=(IFERROR(INDEX(ApoioA,MATCH($B10,ApoioB,0)),IF(COUNTIF(ApoioA,$B10)&gt;0,$B10,IF($B10="RESOLUÇÃO 049/2022-CONSUNI/CPPGEC","CAPPG - Res 49",IF($B10="OUTROS","DIREÇÃO",""))))))+((IFERROR(INDEX(ApoioA,MATCH($B10,ApoioB,0)),IF(COUNTIF(ApoioA,$B10)&gt;0,$B10,IF($B10="RESOLUÇÃO 049/2022-CONSUNI/CPPGEC","CAPPG - Res 49",IF($B10="OUTROS","DIREÇÃO","")))))="DIREÇÃO")*(LEFT(ApoioA,9)="DIREÇÃO -"))&gt;0))+(--(ApoioA="PPGEL +")*(((IFERROR(INDEX(ApoioA,MATCH($B10,ApoioB,0)),IF(COUNTIF(ApoioA,$B10)&gt;0,$B10,IF($B10="RESOLUÇÃO 049/2022-CONSUNI/CPPGEC","CAPPG - Res 49",IF($B10="OUTROS","DIREÇÃO","")))))="PPGE")*ApoioJ+((IFERROR(INDEX(ApoioA,MATCH($B10,ApoioB,0)),IF(COUNTIF(ApoioA,$B10)&gt;0,$B10,IF($B10="RESOLUÇÃO 049/2022-CONSUNI/CPPGEC","CAPPG - Res 49",IF($B10="OUTROS","DIREÇÃO","")))))="PPGEL")*ApoioK+((IFERROR(INDEX(ApoioA,MATCH($B10,ApoioB,0)),IF(COUNTIF(ApoioA,$B10)&gt;0,$B10,IF($B10="RESOLUÇÃO 049/2022-CONSUNI/CPPGEC","CAPPG - Res 49",IF($B10="OUTROS","DIREÇÃO","")))))="PPGH/PPGDH")*ApoioL)),COUNTIFS(ViagensM,ApoioA,ViagensC,"Cancelada",ViagensN,""))&gt;0,"Pendente",SUMPRODUCT((--(ApoioA&lt;&gt;"")*--(((ApoioA=(IFERROR(INDEX(ApoioA,MATCH($B10,ApoioB,0)),IF(COUNTIF(ApoioA,$B10)&gt;0,$B10,IF($B10="RESOLUÇÃO 049/2022-CONSUNI/CPPGEC","CAPPG - Res 49",IF($B10="OUTROS","DIREÇÃO",""))))))+((IFERROR(INDEX(ApoioA,MATCH($B10,ApoioB,0)),IF(COUNTIF(ApoioA,$B10)&gt;0,$B10,IF($B10="RESOLUÇÃO 049/2022-CONSUNI/CPPGEC","CAPPG - Res 49",IF($B10="OUTROS","DIREÇÃO","")))))="DIREÇÃO")*(LEFT(ApoioA,9)="DIREÇÃO -"))&gt;0))+(--(ApoioA="PPGEL +")*(((IFERROR(INDEX(ApoioA,MATCH($B10,ApoioB,0)),IF(COUNTIF(ApoioA,$B10)&gt;0,$B10,IF($B10="RESOLUÇÃO 049/2022-CONSUNI/CPPGEC","CAPPG - Res 49",IF($B10="OUTROS","DIREÇÃO","")))))="PPGE")*ApoioJ+((IFERROR(INDEX(ApoioA,MATCH($B10,ApoioB,0)),IF(COUNTIF(ApoioA,$B10)&gt;0,$B10,IF($B10="RESOLUÇÃO 049/2022-CONSUNI/CPPGEC","CAPPG - Res 49",IF($B10="OUTROS","DIREÇÃO","")))))="PPGEL")*ApoioK+((IFERROR(INDEX(ApoioA,MATCH($B10,ApoioB,0)),IF(COUNTIF(ApoioA,$B10)&gt;0,$B10,IF($B10="RESOLUÇÃO 049/2022-CONSUNI/CPPGEC","CAPPG - Res 49",IF($B10="OUTROS","DIREÇÃO","")))))="PPGH/PPGDH")*ApoioL)),(SUMIFS(ViagensK,ViagensM,ApoioA,ViagensC,"&lt;&gt;Cancelada")+SUMIFS(ViagensK,ViagensM,ApoioA,ViagensC,"Cancelada",ViagensN,"Sim"))))</f>
        <v/>
      </c>
      <c r="G10" s="92">
        <f>IF(AND(ISNUMBER(E10),ISNUMBER(F10)),E10-F10,"Pendente")</f>
        <v/>
      </c>
      <c r="H10" s="80" t="n"/>
      <c r="I10" s="91">
        <f>IF(SUMPRODUCT((--(ApoioA&lt;&gt;"")*--(((ApoioA=(IFERROR(INDEX(ApoioA,MATCH($B10,ApoioB,0)),IF(COUNTIF(ApoioA,$B10)&gt;0,$B10,IF($B10="RESOLUÇÃO 049/2022-CONSUNI/CPPGEC","CAPPG - Res 49",IF($B10="OUTROS","DIREÇÃO",""))))))+((IFERROR(INDEX(ApoioA,MATCH($B10,ApoioB,0)),IF(COUNTIF(ApoioA,$B10)&gt;0,$B10,IF($B10="RESOLUÇÃO 049/2022-CONSUNI/CPPGEC","CAPPG - Res 49",IF($B10="OUTROS","DIREÇÃO","")))))="DIREÇÃO")*(LEFT(ApoioA,9)="DIREÇÃO -"))&gt;0))+(--(ApoioA="PPGEL +")*(((IFERROR(INDEX(ApoioA,MATCH($B10,ApoioB,0)),IF(COUNTIF(ApoioA,$B10)&gt;0,$B10,IF($B10="RESOLUÇÃO 049/2022-CONSUNI/CPPGEC","CAPPG - Res 49",IF($B10="OUTROS","DIREÇÃO","")))))="PPGE")*ApoioJ+((IFERROR(INDEX(ApoioA,MATCH($B10,ApoioB,0)),IF(COUNTIF(ApoioA,$B10)&gt;0,$B10,IF($B10="RESOLUÇÃO 049/2022-CONSUNI/CPPGEC","CAPPG - Res 49",IF($B10="OUTROS","DIREÇÃO","")))))="PPGEL")*ApoioK+((IFERROR(INDEX(ApoioA,MATCH($B10,ApoioB,0)),IF(COUNTIF(ApoioA,$B10)&gt;0,$B10,IF($B10="RESOLUÇÃO 049/2022-CONSUNI/CPPGEC","CAPPG - Res 49",IF($B10="OUTROS","DIREÇÃO","")))))="PPGH/PPGDH")*ApoioL)),--ISNUMBER(ApoioE))=0,"Pendente",SUMPRODUCT((--(ApoioA&lt;&gt;"")*--(((ApoioA=(IFERROR(INDEX(ApoioA,MATCH($B10,ApoioB,0)),IF(COUNTIF(ApoioA,$B10)&gt;0,$B10,IF($B10="RESOLUÇÃO 049/2022-CONSUNI/CPPGEC","CAPPG - Res 49",IF($B10="OUTROS","DIREÇÃO",""))))))+((IFERROR(INDEX(ApoioA,MATCH($B10,ApoioB,0)),IF(COUNTIF(ApoioA,$B10)&gt;0,$B10,IF($B10="RESOLUÇÃO 049/2022-CONSUNI/CPPGEC","CAPPG - Res 49",IF($B10="OUTROS","DIREÇÃO","")))))="DIREÇÃO")*(LEFT(ApoioA,9)="DIREÇÃO -"))&gt;0))+(--(ApoioA="PPGEL +")*(((IFERROR(INDEX(ApoioA,MATCH($B10,ApoioB,0)),IF(COUNTIF(ApoioA,$B10)&gt;0,$B10,IF($B10="RESOLUÇÃO 049/2022-CONSUNI/CPPGEC","CAPPG - Res 49",IF($B10="OUTROS","DIREÇÃO","")))))="PPGE")*ApoioJ+((IFERROR(INDEX(ApoioA,MATCH($B10,ApoioB,0)),IF(COUNTIF(ApoioA,$B10)&gt;0,$B10,IF($B10="RESOLUÇÃO 049/2022-CONSUNI/CPPGEC","CAPPG - Res 49",IF($B10="OUTROS","DIREÇÃO","")))))="PPGEL")*ApoioK+((IFERROR(INDEX(ApoioA,MATCH($B10,ApoioB,0)),IF(COUNTIF(ApoioA,$B10)&gt;0,$B10,IF($B10="RESOLUÇÃO 049/2022-CONSUNI/CPPGEC","CAPPG - Res 49",IF($B10="OUTROS","DIREÇÃO","")))))="PPGH/PPGDH")*ApoioL)),ApoioE))</f>
        <v/>
      </c>
      <c r="J10" s="92">
        <f>IF(SUMPRODUCT((--(ApoioA&lt;&gt;"")*--(((ApoioA=(IFERROR(INDEX(ApoioA,MATCH($B10,ApoioB,0)),IF(COUNTIF(ApoioA,$B10)&gt;0,$B10,IF($B10="RESOLUÇÃO 049/2022-CONSUNI/CPPGEC","CAPPG - Res 49",IF($B10="OUTROS","DIREÇÃO",""))))))+((IFERROR(INDEX(ApoioA,MATCH($B10,ApoioB,0)),IF(COUNTIF(ApoioA,$B10)&gt;0,$B10,IF($B10="RESOLUÇÃO 049/2022-CONSUNI/CPPGEC","CAPPG - Res 49",IF($B10="OUTROS","DIREÇÃO","")))))="DIREÇÃO")*(LEFT(ApoioA,9)="DIREÇÃO -"))&gt;0))+(--(ApoioA="PPGEL +")*(((IFERROR(INDEX(ApoioA,MATCH($B10,ApoioB,0)),IF(COUNTIF(ApoioA,$B10)&gt;0,$B10,IF($B10="RESOLUÇÃO 049/2022-CONSUNI/CPPGEC","CAPPG - Res 49",IF($B10="OUTROS","DIREÇÃO","")))))="PPGE")*ApoioJ+((IFERROR(INDEX(ApoioA,MATCH($B10,ApoioB,0)),IF(COUNTIF(ApoioA,$B10)&gt;0,$B10,IF($B10="RESOLUÇÃO 049/2022-CONSUNI/CPPGEC","CAPPG - Res 49",IF($B10="OUTROS","DIREÇÃO","")))))="PPGEL")*ApoioK+((IFERROR(INDEX(ApoioA,MATCH($B10,ApoioB,0)),IF(COUNTIF(ApoioA,$B10)&gt;0,$B10,IF($B10="RESOLUÇÃO 049/2022-CONSUNI/CPPGEC","CAPPG - Res 49",IF($B10="OUTROS","DIREÇÃO","")))))="PPGH/PPGDH")*ApoioL)),--ISNUMBER(ApoioG))=0,"Pendente",SUMPRODUCT((--(ApoioA&lt;&gt;"")*--(((ApoioA=(IFERROR(INDEX(ApoioA,MATCH($B10,ApoioB,0)),IF(COUNTIF(ApoioA,$B10)&gt;0,$B10,IF($B10="RESOLUÇÃO 049/2022-CONSUNI/CPPGEC","CAPPG - Res 49",IF($B10="OUTROS","DIREÇÃO",""))))))+((IFERROR(INDEX(ApoioA,MATCH($B10,ApoioB,0)),IF(COUNTIF(ApoioA,$B10)&gt;0,$B10,IF($B10="RESOLUÇÃO 049/2022-CONSUNI/CPPGEC","CAPPG - Res 49",IF($B10="OUTROS","DIREÇÃO","")))))="DIREÇÃO")*(LEFT(ApoioA,9)="DIREÇÃO -"))&gt;0))+(--(ApoioA="PPGEL +")*(((IFERROR(INDEX(ApoioA,MATCH($B10,ApoioB,0)),IF(COUNTIF(ApoioA,$B10)&gt;0,$B10,IF($B10="RESOLUÇÃO 049/2022-CONSUNI/CPPGEC","CAPPG - Res 49",IF($B10="OUTROS","DIREÇÃO","")))))="PPGE")*ApoioJ+((IFERROR(INDEX(ApoioA,MATCH($B10,ApoioB,0)),IF(COUNTIF(ApoioA,$B10)&gt;0,$B10,IF($B10="RESOLUÇÃO 049/2022-CONSUNI/CPPGEC","CAPPG - Res 49",IF($B10="OUTROS","DIREÇÃO","")))))="PPGEL")*ApoioK+((IFERROR(INDEX(ApoioA,MATCH($B10,ApoioB,0)),IF(COUNTIF(ApoioA,$B10)&gt;0,$B10,IF($B10="RESOLUÇÃO 049/2022-CONSUNI/CPPGEC","CAPPG - Res 49",IF($B10="OUTROS","DIREÇÃO","")))))="PPGH/PPGDH")*ApoioL)),ApoioG))</f>
        <v/>
      </c>
      <c r="K10" s="92">
        <f>IF(AND(ISNUMBER(I10),ISNUMBER(J10)),I10-J10,"Pendente")</f>
        <v/>
      </c>
      <c r="L10" s="70" t="n"/>
      <c r="M10" s="92">
        <f>IF(AND(ISNUMBER(G10),ISNUMBER(K10)),G10+K10,"Pendente")</f>
        <v/>
      </c>
      <c r="O10" s="67" t="inlineStr">
        <is>
          <t>Grupo principal</t>
        </is>
      </c>
      <c r="P10" s="67">
        <f>B10</f>
        <v/>
      </c>
    </row>
    <row r="11" ht="15" customHeight="1" s="61">
      <c r="A11" s="69" t="n"/>
      <c r="B11" s="87" t="inlineStr">
        <is>
          <t>Ciências Sociais</t>
        </is>
      </c>
      <c r="C11" s="88">
        <f>IF(AND(ISNUMBER(E11),ISNUMBER(I11)),E11+I11,"Pendente")</f>
        <v/>
      </c>
      <c r="D11" s="70" t="n"/>
      <c r="E11" s="88">
        <f>IF(SUMPRODUCT((--(ApoioA&lt;&gt;"")*--(((ApoioA=(IFERROR(INDEX(ApoioA,MATCH($B11,ApoioB,0)),IF(COUNTIF(ApoioA,$B11)&gt;0,$B11,IF($B11="RESOLUÇÃO 049/2022-CONSUNI/CPPGEC","CAPPG - Res 49",IF($B11="OUTROS","DIREÇÃO",""))))))+((IFERROR(INDEX(ApoioA,MATCH($B11,ApoioB,0)),IF(COUNTIF(ApoioA,$B11)&gt;0,$B11,IF($B11="RESOLUÇÃO 049/2022-CONSUNI/CPPGEC","CAPPG - Res 49",IF($B11="OUTROS","DIREÇÃO","")))))="DIREÇÃO")*(LEFT(ApoioA,9)="DIREÇÃO -"))&gt;0))+(--(ApoioA="PPGEL +")*(((IFERROR(INDEX(ApoioA,MATCH($B11,ApoioB,0)),IF(COUNTIF(ApoioA,$B11)&gt;0,$B11,IF($B11="RESOLUÇÃO 049/2022-CONSUNI/CPPGEC","CAPPG - Res 49",IF($B11="OUTROS","DIREÇÃO","")))))="PPGE")*ApoioJ+((IFERROR(INDEX(ApoioA,MATCH($B11,ApoioB,0)),IF(COUNTIF(ApoioA,$B11)&gt;0,$B11,IF($B11="RESOLUÇÃO 049/2022-CONSUNI/CPPGEC","CAPPG - Res 49",IF($B11="OUTROS","DIREÇÃO","")))))="PPGEL")*ApoioK+((IFERROR(INDEX(ApoioA,MATCH($B11,ApoioB,0)),IF(COUNTIF(ApoioA,$B11)&gt;0,$B11,IF($B11="RESOLUÇÃO 049/2022-CONSUNI/CPPGEC","CAPPG - Res 49",IF($B11="OUTROS","DIREÇÃO","")))))="PPGH/PPGDH")*ApoioL)),--ISNUMBER(ApoioD))=0,"Pendente",SUMPRODUCT((--(ApoioA&lt;&gt;"")*--(((ApoioA=(IFERROR(INDEX(ApoioA,MATCH($B11,ApoioB,0)),IF(COUNTIF(ApoioA,$B11)&gt;0,$B11,IF($B11="RESOLUÇÃO 049/2022-CONSUNI/CPPGEC","CAPPG - Res 49",IF($B11="OUTROS","DIREÇÃO",""))))))+((IFERROR(INDEX(ApoioA,MATCH($B11,ApoioB,0)),IF(COUNTIF(ApoioA,$B11)&gt;0,$B11,IF($B11="RESOLUÇÃO 049/2022-CONSUNI/CPPGEC","CAPPG - Res 49",IF($B11="OUTROS","DIREÇÃO","")))))="DIREÇÃO")*(LEFT(ApoioA,9)="DIREÇÃO -"))&gt;0))+(--(ApoioA="PPGEL +")*(((IFERROR(INDEX(ApoioA,MATCH($B11,ApoioB,0)),IF(COUNTIF(ApoioA,$B11)&gt;0,$B11,IF($B11="RESOLUÇÃO 049/2022-CONSUNI/CPPGEC","CAPPG - Res 49",IF($B11="OUTROS","DIREÇÃO","")))))="PPGE")*ApoioJ+((IFERROR(INDEX(ApoioA,MATCH($B11,ApoioB,0)),IF(COUNTIF(ApoioA,$B11)&gt;0,$B11,IF($B11="RESOLUÇÃO 049/2022-CONSUNI/CPPGEC","CAPPG - Res 49",IF($B11="OUTROS","DIREÇÃO","")))))="PPGEL")*ApoioK+((IFERROR(INDEX(ApoioA,MATCH($B11,ApoioB,0)),IF(COUNTIF(ApoioA,$B11)&gt;0,$B11,IF($B11="RESOLUÇÃO 049/2022-CONSUNI/CPPGEC","CAPPG - Res 49",IF($B11="OUTROS","DIREÇÃO","")))))="PPGH/PPGDH")*ApoioL)),ApoioD))</f>
        <v/>
      </c>
      <c r="F11" s="89">
        <f>IF(SUMPRODUCT((--(ApoioA&lt;&gt;"")*--(((ApoioA=(IFERROR(INDEX(ApoioA,MATCH($B11,ApoioB,0)),IF(COUNTIF(ApoioA,$B11)&gt;0,$B11,IF($B11="RESOLUÇÃO 049/2022-CONSUNI/CPPGEC","CAPPG - Res 49",IF($B11="OUTROS","DIREÇÃO",""))))))+((IFERROR(INDEX(ApoioA,MATCH($B11,ApoioB,0)),IF(COUNTIF(ApoioA,$B11)&gt;0,$B11,IF($B11="RESOLUÇÃO 049/2022-CONSUNI/CPPGEC","CAPPG - Res 49",IF($B11="OUTROS","DIREÇÃO","")))))="DIREÇÃO")*(LEFT(ApoioA,9)="DIREÇÃO -"))&gt;0))+(--(ApoioA="PPGEL +")*(((IFERROR(INDEX(ApoioA,MATCH($B11,ApoioB,0)),IF(COUNTIF(ApoioA,$B11)&gt;0,$B11,IF($B11="RESOLUÇÃO 049/2022-CONSUNI/CPPGEC","CAPPG - Res 49",IF($B11="OUTROS","DIREÇÃO","")))))="PPGE")*ApoioJ+((IFERROR(INDEX(ApoioA,MATCH($B11,ApoioB,0)),IF(COUNTIF(ApoioA,$B11)&gt;0,$B11,IF($B11="RESOLUÇÃO 049/2022-CONSUNI/CPPGEC","CAPPG - Res 49",IF($B11="OUTROS","DIREÇÃO","")))))="PPGEL")*ApoioK+((IFERROR(INDEX(ApoioA,MATCH($B11,ApoioB,0)),IF(COUNTIF(ApoioA,$B11)&gt;0,$B11,IF($B11="RESOLUÇÃO 049/2022-CONSUNI/CPPGEC","CAPPG - Res 49",IF($B11="OUTROS","DIREÇÃO","")))))="PPGH/PPGDH")*ApoioL)),COUNTIFS(ViagensM,ApoioA,ViagensC,"Cancelada",ViagensN,""))&gt;0,"Pendente",SUMPRODUCT((--(ApoioA&lt;&gt;"")*--(((ApoioA=(IFERROR(INDEX(ApoioA,MATCH($B11,ApoioB,0)),IF(COUNTIF(ApoioA,$B11)&gt;0,$B11,IF($B11="RESOLUÇÃO 049/2022-CONSUNI/CPPGEC","CAPPG - Res 49",IF($B11="OUTROS","DIREÇÃO",""))))))+((IFERROR(INDEX(ApoioA,MATCH($B11,ApoioB,0)),IF(COUNTIF(ApoioA,$B11)&gt;0,$B11,IF($B11="RESOLUÇÃO 049/2022-CONSUNI/CPPGEC","CAPPG - Res 49",IF($B11="OUTROS","DIREÇÃO","")))))="DIREÇÃO")*(LEFT(ApoioA,9)="DIREÇÃO -"))&gt;0))+(--(ApoioA="PPGEL +")*(((IFERROR(INDEX(ApoioA,MATCH($B11,ApoioB,0)),IF(COUNTIF(ApoioA,$B11)&gt;0,$B11,IF($B11="RESOLUÇÃO 049/2022-CONSUNI/CPPGEC","CAPPG - Res 49",IF($B11="OUTROS","DIREÇÃO","")))))="PPGE")*ApoioJ+((IFERROR(INDEX(ApoioA,MATCH($B11,ApoioB,0)),IF(COUNTIF(ApoioA,$B11)&gt;0,$B11,IF($B11="RESOLUÇÃO 049/2022-CONSUNI/CPPGEC","CAPPG - Res 49",IF($B11="OUTROS","DIREÇÃO","")))))="PPGEL")*ApoioK+((IFERROR(INDEX(ApoioA,MATCH($B11,ApoioB,0)),IF(COUNTIF(ApoioA,$B11)&gt;0,$B11,IF($B11="RESOLUÇÃO 049/2022-CONSUNI/CPPGEC","CAPPG - Res 49",IF($B11="OUTROS","DIREÇÃO","")))))="PPGH/PPGDH")*ApoioL)),(SUMIFS(ViagensK,ViagensM,ApoioA,ViagensC,"&lt;&gt;Cancelada")+SUMIFS(ViagensK,ViagensM,ApoioA,ViagensC,"Cancelada",ViagensN,"Sim"))))</f>
        <v/>
      </c>
      <c r="G11" s="89">
        <f>IF(AND(ISNUMBER(E11),ISNUMBER(F11)),E11-F11,"Pendente")</f>
        <v/>
      </c>
      <c r="H11" s="70" t="n"/>
      <c r="I11" s="88">
        <f>IF(SUMPRODUCT((--(ApoioA&lt;&gt;"")*--(((ApoioA=(IFERROR(INDEX(ApoioA,MATCH($B11,ApoioB,0)),IF(COUNTIF(ApoioA,$B11)&gt;0,$B11,IF($B11="RESOLUÇÃO 049/2022-CONSUNI/CPPGEC","CAPPG - Res 49",IF($B11="OUTROS","DIREÇÃO",""))))))+((IFERROR(INDEX(ApoioA,MATCH($B11,ApoioB,0)),IF(COUNTIF(ApoioA,$B11)&gt;0,$B11,IF($B11="RESOLUÇÃO 049/2022-CONSUNI/CPPGEC","CAPPG - Res 49",IF($B11="OUTROS","DIREÇÃO","")))))="DIREÇÃO")*(LEFT(ApoioA,9)="DIREÇÃO -"))&gt;0))+(--(ApoioA="PPGEL +")*(((IFERROR(INDEX(ApoioA,MATCH($B11,ApoioB,0)),IF(COUNTIF(ApoioA,$B11)&gt;0,$B11,IF($B11="RESOLUÇÃO 049/2022-CONSUNI/CPPGEC","CAPPG - Res 49",IF($B11="OUTROS","DIREÇÃO","")))))="PPGE")*ApoioJ+((IFERROR(INDEX(ApoioA,MATCH($B11,ApoioB,0)),IF(COUNTIF(ApoioA,$B11)&gt;0,$B11,IF($B11="RESOLUÇÃO 049/2022-CONSUNI/CPPGEC","CAPPG - Res 49",IF($B11="OUTROS","DIREÇÃO","")))))="PPGEL")*ApoioK+((IFERROR(INDEX(ApoioA,MATCH($B11,ApoioB,0)),IF(COUNTIF(ApoioA,$B11)&gt;0,$B11,IF($B11="RESOLUÇÃO 049/2022-CONSUNI/CPPGEC","CAPPG - Res 49",IF($B11="OUTROS","DIREÇÃO","")))))="PPGH/PPGDH")*ApoioL)),--ISNUMBER(ApoioE))=0,"Pendente",SUMPRODUCT((--(ApoioA&lt;&gt;"")*--(((ApoioA=(IFERROR(INDEX(ApoioA,MATCH($B11,ApoioB,0)),IF(COUNTIF(ApoioA,$B11)&gt;0,$B11,IF($B11="RESOLUÇÃO 049/2022-CONSUNI/CPPGEC","CAPPG - Res 49",IF($B11="OUTROS","DIREÇÃO",""))))))+((IFERROR(INDEX(ApoioA,MATCH($B11,ApoioB,0)),IF(COUNTIF(ApoioA,$B11)&gt;0,$B11,IF($B11="RESOLUÇÃO 049/2022-CONSUNI/CPPGEC","CAPPG - Res 49",IF($B11="OUTROS","DIREÇÃO","")))))="DIREÇÃO")*(LEFT(ApoioA,9)="DIREÇÃO -"))&gt;0))+(--(ApoioA="PPGEL +")*(((IFERROR(INDEX(ApoioA,MATCH($B11,ApoioB,0)),IF(COUNTIF(ApoioA,$B11)&gt;0,$B11,IF($B11="RESOLUÇÃO 049/2022-CONSUNI/CPPGEC","CAPPG - Res 49",IF($B11="OUTROS","DIREÇÃO","")))))="PPGE")*ApoioJ+((IFERROR(INDEX(ApoioA,MATCH($B11,ApoioB,0)),IF(COUNTIF(ApoioA,$B11)&gt;0,$B11,IF($B11="RESOLUÇÃO 049/2022-CONSUNI/CPPGEC","CAPPG - Res 49",IF($B11="OUTROS","DIREÇÃO","")))))="PPGEL")*ApoioK+((IFERROR(INDEX(ApoioA,MATCH($B11,ApoioB,0)),IF(COUNTIF(ApoioA,$B11)&gt;0,$B11,IF($B11="RESOLUÇÃO 049/2022-CONSUNI/CPPGEC","CAPPG - Res 49",IF($B11="OUTROS","DIREÇÃO","")))))="PPGH/PPGDH")*ApoioL)),ApoioE))</f>
        <v/>
      </c>
      <c r="J11" s="89">
        <f>IF(SUMPRODUCT((--(ApoioA&lt;&gt;"")*--(((ApoioA=(IFERROR(INDEX(ApoioA,MATCH($B11,ApoioB,0)),IF(COUNTIF(ApoioA,$B11)&gt;0,$B11,IF($B11="RESOLUÇÃO 049/2022-CONSUNI/CPPGEC","CAPPG - Res 49",IF($B11="OUTROS","DIREÇÃO",""))))))+((IFERROR(INDEX(ApoioA,MATCH($B11,ApoioB,0)),IF(COUNTIF(ApoioA,$B11)&gt;0,$B11,IF($B11="RESOLUÇÃO 049/2022-CONSUNI/CPPGEC","CAPPG - Res 49",IF($B11="OUTROS","DIREÇÃO","")))))="DIREÇÃO")*(LEFT(ApoioA,9)="DIREÇÃO -"))&gt;0))+(--(ApoioA="PPGEL +")*(((IFERROR(INDEX(ApoioA,MATCH($B11,ApoioB,0)),IF(COUNTIF(ApoioA,$B11)&gt;0,$B11,IF($B11="RESOLUÇÃO 049/2022-CONSUNI/CPPGEC","CAPPG - Res 49",IF($B11="OUTROS","DIREÇÃO","")))))="PPGE")*ApoioJ+((IFERROR(INDEX(ApoioA,MATCH($B11,ApoioB,0)),IF(COUNTIF(ApoioA,$B11)&gt;0,$B11,IF($B11="RESOLUÇÃO 049/2022-CONSUNI/CPPGEC","CAPPG - Res 49",IF($B11="OUTROS","DIREÇÃO","")))))="PPGEL")*ApoioK+((IFERROR(INDEX(ApoioA,MATCH($B11,ApoioB,0)),IF(COUNTIF(ApoioA,$B11)&gt;0,$B11,IF($B11="RESOLUÇÃO 049/2022-CONSUNI/CPPGEC","CAPPG - Res 49",IF($B11="OUTROS","DIREÇÃO","")))))="PPGH/PPGDH")*ApoioL)),--ISNUMBER(ApoioG))=0,"Pendente",SUMPRODUCT((--(ApoioA&lt;&gt;"")*--(((ApoioA=(IFERROR(INDEX(ApoioA,MATCH($B11,ApoioB,0)),IF(COUNTIF(ApoioA,$B11)&gt;0,$B11,IF($B11="RESOLUÇÃO 049/2022-CONSUNI/CPPGEC","CAPPG - Res 49",IF($B11="OUTROS","DIREÇÃO",""))))))+((IFERROR(INDEX(ApoioA,MATCH($B11,ApoioB,0)),IF(COUNTIF(ApoioA,$B11)&gt;0,$B11,IF($B11="RESOLUÇÃO 049/2022-CONSUNI/CPPGEC","CAPPG - Res 49",IF($B11="OUTROS","DIREÇÃO","")))))="DIREÇÃO")*(LEFT(ApoioA,9)="DIREÇÃO -"))&gt;0))+(--(ApoioA="PPGEL +")*(((IFERROR(INDEX(ApoioA,MATCH($B11,ApoioB,0)),IF(COUNTIF(ApoioA,$B11)&gt;0,$B11,IF($B11="RESOLUÇÃO 049/2022-CONSUNI/CPPGEC","CAPPG - Res 49",IF($B11="OUTROS","DIREÇÃO","")))))="PPGE")*ApoioJ+((IFERROR(INDEX(ApoioA,MATCH($B11,ApoioB,0)),IF(COUNTIF(ApoioA,$B11)&gt;0,$B11,IF($B11="RESOLUÇÃO 049/2022-CONSUNI/CPPGEC","CAPPG - Res 49",IF($B11="OUTROS","DIREÇÃO","")))))="PPGEL")*ApoioK+((IFERROR(INDEX(ApoioA,MATCH($B11,ApoioB,0)),IF(COUNTIF(ApoioA,$B11)&gt;0,$B11,IF($B11="RESOLUÇÃO 049/2022-CONSUNI/CPPGEC","CAPPG - Res 49",IF($B11="OUTROS","DIREÇÃO","")))))="PPGH/PPGDH")*ApoioL)),ApoioG))</f>
        <v/>
      </c>
      <c r="K11" s="89">
        <f>IF(AND(ISNUMBER(I11),ISNUMBER(J11)),I11-J11,"Pendente")</f>
        <v/>
      </c>
      <c r="L11" s="70" t="n"/>
      <c r="M11" s="89">
        <f>IF(AND(ISNUMBER(G11),ISNUMBER(K11)),G11+K11,"Pendente")</f>
        <v/>
      </c>
      <c r="O11" s="67" t="inlineStr">
        <is>
          <t>Grupo principal</t>
        </is>
      </c>
      <c r="P11" s="67">
        <f>B11</f>
        <v/>
      </c>
    </row>
    <row r="12" ht="15" customHeight="1" s="61">
      <c r="A12" s="69" t="n"/>
      <c r="B12" s="87" t="inlineStr">
        <is>
          <t>Enfermagem</t>
        </is>
      </c>
      <c r="C12" s="88">
        <f>IF(AND(ISNUMBER(E12),ISNUMBER(I12)),E12+I12,"Pendente")</f>
        <v/>
      </c>
      <c r="D12" s="70" t="n"/>
      <c r="E12" s="88">
        <f>IF(SUMPRODUCT((--(ApoioA&lt;&gt;"")*--(((ApoioA=(IFERROR(INDEX(ApoioA,MATCH($B12,ApoioB,0)),IF(COUNTIF(ApoioA,$B12)&gt;0,$B12,IF($B12="RESOLUÇÃO 049/2022-CONSUNI/CPPGEC","CAPPG - Res 49",IF($B12="OUTROS","DIREÇÃO",""))))))+((IFERROR(INDEX(ApoioA,MATCH($B12,ApoioB,0)),IF(COUNTIF(ApoioA,$B12)&gt;0,$B12,IF($B12="RESOLUÇÃO 049/2022-CONSUNI/CPPGEC","CAPPG - Res 49",IF($B12="OUTROS","DIREÇÃO","")))))="DIREÇÃO")*(LEFT(ApoioA,9)="DIREÇÃO -"))&gt;0))+(--(ApoioA="PPGEL +")*(((IFERROR(INDEX(ApoioA,MATCH($B12,ApoioB,0)),IF(COUNTIF(ApoioA,$B12)&gt;0,$B12,IF($B12="RESOLUÇÃO 049/2022-CONSUNI/CPPGEC","CAPPG - Res 49",IF($B12="OUTROS","DIREÇÃO","")))))="PPGE")*ApoioJ+((IFERROR(INDEX(ApoioA,MATCH($B12,ApoioB,0)),IF(COUNTIF(ApoioA,$B12)&gt;0,$B12,IF($B12="RESOLUÇÃO 049/2022-CONSUNI/CPPGEC","CAPPG - Res 49",IF($B12="OUTROS","DIREÇÃO","")))))="PPGEL")*ApoioK+((IFERROR(INDEX(ApoioA,MATCH($B12,ApoioB,0)),IF(COUNTIF(ApoioA,$B12)&gt;0,$B12,IF($B12="RESOLUÇÃO 049/2022-CONSUNI/CPPGEC","CAPPG - Res 49",IF($B12="OUTROS","DIREÇÃO","")))))="PPGH/PPGDH")*ApoioL)),--ISNUMBER(ApoioD))=0,"Pendente",SUMPRODUCT((--(ApoioA&lt;&gt;"")*--(((ApoioA=(IFERROR(INDEX(ApoioA,MATCH($B12,ApoioB,0)),IF(COUNTIF(ApoioA,$B12)&gt;0,$B12,IF($B12="RESOLUÇÃO 049/2022-CONSUNI/CPPGEC","CAPPG - Res 49",IF($B12="OUTROS","DIREÇÃO",""))))))+((IFERROR(INDEX(ApoioA,MATCH($B12,ApoioB,0)),IF(COUNTIF(ApoioA,$B12)&gt;0,$B12,IF($B12="RESOLUÇÃO 049/2022-CONSUNI/CPPGEC","CAPPG - Res 49",IF($B12="OUTROS","DIREÇÃO","")))))="DIREÇÃO")*(LEFT(ApoioA,9)="DIREÇÃO -"))&gt;0))+(--(ApoioA="PPGEL +")*(((IFERROR(INDEX(ApoioA,MATCH($B12,ApoioB,0)),IF(COUNTIF(ApoioA,$B12)&gt;0,$B12,IF($B12="RESOLUÇÃO 049/2022-CONSUNI/CPPGEC","CAPPG - Res 49",IF($B12="OUTROS","DIREÇÃO","")))))="PPGE")*ApoioJ+((IFERROR(INDEX(ApoioA,MATCH($B12,ApoioB,0)),IF(COUNTIF(ApoioA,$B12)&gt;0,$B12,IF($B12="RESOLUÇÃO 049/2022-CONSUNI/CPPGEC","CAPPG - Res 49",IF($B12="OUTROS","DIREÇÃO","")))))="PPGEL")*ApoioK+((IFERROR(INDEX(ApoioA,MATCH($B12,ApoioB,0)),IF(COUNTIF(ApoioA,$B12)&gt;0,$B12,IF($B12="RESOLUÇÃO 049/2022-CONSUNI/CPPGEC","CAPPG - Res 49",IF($B12="OUTROS","DIREÇÃO","")))))="PPGH/PPGDH")*ApoioL)),ApoioD))</f>
        <v/>
      </c>
      <c r="F12" s="89">
        <f>IF(SUMPRODUCT((--(ApoioA&lt;&gt;"")*--(((ApoioA=(IFERROR(INDEX(ApoioA,MATCH($B12,ApoioB,0)),IF(COUNTIF(ApoioA,$B12)&gt;0,$B12,IF($B12="RESOLUÇÃO 049/2022-CONSUNI/CPPGEC","CAPPG - Res 49",IF($B12="OUTROS","DIREÇÃO",""))))))+((IFERROR(INDEX(ApoioA,MATCH($B12,ApoioB,0)),IF(COUNTIF(ApoioA,$B12)&gt;0,$B12,IF($B12="RESOLUÇÃO 049/2022-CONSUNI/CPPGEC","CAPPG - Res 49",IF($B12="OUTROS","DIREÇÃO","")))))="DIREÇÃO")*(LEFT(ApoioA,9)="DIREÇÃO -"))&gt;0))+(--(ApoioA="PPGEL +")*(((IFERROR(INDEX(ApoioA,MATCH($B12,ApoioB,0)),IF(COUNTIF(ApoioA,$B12)&gt;0,$B12,IF($B12="RESOLUÇÃO 049/2022-CONSUNI/CPPGEC","CAPPG - Res 49",IF($B12="OUTROS","DIREÇÃO","")))))="PPGE")*ApoioJ+((IFERROR(INDEX(ApoioA,MATCH($B12,ApoioB,0)),IF(COUNTIF(ApoioA,$B12)&gt;0,$B12,IF($B12="RESOLUÇÃO 049/2022-CONSUNI/CPPGEC","CAPPG - Res 49",IF($B12="OUTROS","DIREÇÃO","")))))="PPGEL")*ApoioK+((IFERROR(INDEX(ApoioA,MATCH($B12,ApoioB,0)),IF(COUNTIF(ApoioA,$B12)&gt;0,$B12,IF($B12="RESOLUÇÃO 049/2022-CONSUNI/CPPGEC","CAPPG - Res 49",IF($B12="OUTROS","DIREÇÃO","")))))="PPGH/PPGDH")*ApoioL)),COUNTIFS(ViagensM,ApoioA,ViagensC,"Cancelada",ViagensN,""))&gt;0,"Pendente",SUMPRODUCT((--(ApoioA&lt;&gt;"")*--(((ApoioA=(IFERROR(INDEX(ApoioA,MATCH($B12,ApoioB,0)),IF(COUNTIF(ApoioA,$B12)&gt;0,$B12,IF($B12="RESOLUÇÃO 049/2022-CONSUNI/CPPGEC","CAPPG - Res 49",IF($B12="OUTROS","DIREÇÃO",""))))))+((IFERROR(INDEX(ApoioA,MATCH($B12,ApoioB,0)),IF(COUNTIF(ApoioA,$B12)&gt;0,$B12,IF($B12="RESOLUÇÃO 049/2022-CONSUNI/CPPGEC","CAPPG - Res 49",IF($B12="OUTROS","DIREÇÃO","")))))="DIREÇÃO")*(LEFT(ApoioA,9)="DIREÇÃO -"))&gt;0))+(--(ApoioA="PPGEL +")*(((IFERROR(INDEX(ApoioA,MATCH($B12,ApoioB,0)),IF(COUNTIF(ApoioA,$B12)&gt;0,$B12,IF($B12="RESOLUÇÃO 049/2022-CONSUNI/CPPGEC","CAPPG - Res 49",IF($B12="OUTROS","DIREÇÃO","")))))="PPGE")*ApoioJ+((IFERROR(INDEX(ApoioA,MATCH($B12,ApoioB,0)),IF(COUNTIF(ApoioA,$B12)&gt;0,$B12,IF($B12="RESOLUÇÃO 049/2022-CONSUNI/CPPGEC","CAPPG - Res 49",IF($B12="OUTROS","DIREÇÃO","")))))="PPGEL")*ApoioK+((IFERROR(INDEX(ApoioA,MATCH($B12,ApoioB,0)),IF(COUNTIF(ApoioA,$B12)&gt;0,$B12,IF($B12="RESOLUÇÃO 049/2022-CONSUNI/CPPGEC","CAPPG - Res 49",IF($B12="OUTROS","DIREÇÃO","")))))="PPGH/PPGDH")*ApoioL)),(SUMIFS(ViagensK,ViagensM,ApoioA,ViagensC,"&lt;&gt;Cancelada")+SUMIFS(ViagensK,ViagensM,ApoioA,ViagensC,"Cancelada",ViagensN,"Sim"))))</f>
        <v/>
      </c>
      <c r="G12" s="89">
        <f>IF(AND(ISNUMBER(E12),ISNUMBER(F12)),E12-F12,"Pendente")</f>
        <v/>
      </c>
      <c r="H12" s="70" t="n"/>
      <c r="I12" s="88">
        <f>IF(SUMPRODUCT((--(ApoioA&lt;&gt;"")*--(((ApoioA=(IFERROR(INDEX(ApoioA,MATCH($B12,ApoioB,0)),IF(COUNTIF(ApoioA,$B12)&gt;0,$B12,IF($B12="RESOLUÇÃO 049/2022-CONSUNI/CPPGEC","CAPPG - Res 49",IF($B12="OUTROS","DIREÇÃO",""))))))+((IFERROR(INDEX(ApoioA,MATCH($B12,ApoioB,0)),IF(COUNTIF(ApoioA,$B12)&gt;0,$B12,IF($B12="RESOLUÇÃO 049/2022-CONSUNI/CPPGEC","CAPPG - Res 49",IF($B12="OUTROS","DIREÇÃO","")))))="DIREÇÃO")*(LEFT(ApoioA,9)="DIREÇÃO -"))&gt;0))+(--(ApoioA="PPGEL +")*(((IFERROR(INDEX(ApoioA,MATCH($B12,ApoioB,0)),IF(COUNTIF(ApoioA,$B12)&gt;0,$B12,IF($B12="RESOLUÇÃO 049/2022-CONSUNI/CPPGEC","CAPPG - Res 49",IF($B12="OUTROS","DIREÇÃO","")))))="PPGE")*ApoioJ+((IFERROR(INDEX(ApoioA,MATCH($B12,ApoioB,0)),IF(COUNTIF(ApoioA,$B12)&gt;0,$B12,IF($B12="RESOLUÇÃO 049/2022-CONSUNI/CPPGEC","CAPPG - Res 49",IF($B12="OUTROS","DIREÇÃO","")))))="PPGEL")*ApoioK+((IFERROR(INDEX(ApoioA,MATCH($B12,ApoioB,0)),IF(COUNTIF(ApoioA,$B12)&gt;0,$B12,IF($B12="RESOLUÇÃO 049/2022-CONSUNI/CPPGEC","CAPPG - Res 49",IF($B12="OUTROS","DIREÇÃO","")))))="PPGH/PPGDH")*ApoioL)),--ISNUMBER(ApoioE))=0,"Pendente",SUMPRODUCT((--(ApoioA&lt;&gt;"")*--(((ApoioA=(IFERROR(INDEX(ApoioA,MATCH($B12,ApoioB,0)),IF(COUNTIF(ApoioA,$B12)&gt;0,$B12,IF($B12="RESOLUÇÃO 049/2022-CONSUNI/CPPGEC","CAPPG - Res 49",IF($B12="OUTROS","DIREÇÃO",""))))))+((IFERROR(INDEX(ApoioA,MATCH($B12,ApoioB,0)),IF(COUNTIF(ApoioA,$B12)&gt;0,$B12,IF($B12="RESOLUÇÃO 049/2022-CONSUNI/CPPGEC","CAPPG - Res 49",IF($B12="OUTROS","DIREÇÃO","")))))="DIREÇÃO")*(LEFT(ApoioA,9)="DIREÇÃO -"))&gt;0))+(--(ApoioA="PPGEL +")*(((IFERROR(INDEX(ApoioA,MATCH($B12,ApoioB,0)),IF(COUNTIF(ApoioA,$B12)&gt;0,$B12,IF($B12="RESOLUÇÃO 049/2022-CONSUNI/CPPGEC","CAPPG - Res 49",IF($B12="OUTROS","DIREÇÃO","")))))="PPGE")*ApoioJ+((IFERROR(INDEX(ApoioA,MATCH($B12,ApoioB,0)),IF(COUNTIF(ApoioA,$B12)&gt;0,$B12,IF($B12="RESOLUÇÃO 049/2022-CONSUNI/CPPGEC","CAPPG - Res 49",IF($B12="OUTROS","DIREÇÃO","")))))="PPGEL")*ApoioK+((IFERROR(INDEX(ApoioA,MATCH($B12,ApoioB,0)),IF(COUNTIF(ApoioA,$B12)&gt;0,$B12,IF($B12="RESOLUÇÃO 049/2022-CONSUNI/CPPGEC","CAPPG - Res 49",IF($B12="OUTROS","DIREÇÃO","")))))="PPGH/PPGDH")*ApoioL)),ApoioE))</f>
        <v/>
      </c>
      <c r="J12" s="89">
        <f>IF(SUMPRODUCT((--(ApoioA&lt;&gt;"")*--(((ApoioA=(IFERROR(INDEX(ApoioA,MATCH($B12,ApoioB,0)),IF(COUNTIF(ApoioA,$B12)&gt;0,$B12,IF($B12="RESOLUÇÃO 049/2022-CONSUNI/CPPGEC","CAPPG - Res 49",IF($B12="OUTROS","DIREÇÃO",""))))))+((IFERROR(INDEX(ApoioA,MATCH($B12,ApoioB,0)),IF(COUNTIF(ApoioA,$B12)&gt;0,$B12,IF($B12="RESOLUÇÃO 049/2022-CONSUNI/CPPGEC","CAPPG - Res 49",IF($B12="OUTROS","DIREÇÃO","")))))="DIREÇÃO")*(LEFT(ApoioA,9)="DIREÇÃO -"))&gt;0))+(--(ApoioA="PPGEL +")*(((IFERROR(INDEX(ApoioA,MATCH($B12,ApoioB,0)),IF(COUNTIF(ApoioA,$B12)&gt;0,$B12,IF($B12="RESOLUÇÃO 049/2022-CONSUNI/CPPGEC","CAPPG - Res 49",IF($B12="OUTROS","DIREÇÃO","")))))="PPGE")*ApoioJ+((IFERROR(INDEX(ApoioA,MATCH($B12,ApoioB,0)),IF(COUNTIF(ApoioA,$B12)&gt;0,$B12,IF($B12="RESOLUÇÃO 049/2022-CONSUNI/CPPGEC","CAPPG - Res 49",IF($B12="OUTROS","DIREÇÃO","")))))="PPGEL")*ApoioK+((IFERROR(INDEX(ApoioA,MATCH($B12,ApoioB,0)),IF(COUNTIF(ApoioA,$B12)&gt;0,$B12,IF($B12="RESOLUÇÃO 049/2022-CONSUNI/CPPGEC","CAPPG - Res 49",IF($B12="OUTROS","DIREÇÃO","")))))="PPGH/PPGDH")*ApoioL)),--ISNUMBER(ApoioG))=0,"Pendente",SUMPRODUCT((--(ApoioA&lt;&gt;"")*--(((ApoioA=(IFERROR(INDEX(ApoioA,MATCH($B12,ApoioB,0)),IF(COUNTIF(ApoioA,$B12)&gt;0,$B12,IF($B12="RESOLUÇÃO 049/2022-CONSUNI/CPPGEC","CAPPG - Res 49",IF($B12="OUTROS","DIREÇÃO",""))))))+((IFERROR(INDEX(ApoioA,MATCH($B12,ApoioB,0)),IF(COUNTIF(ApoioA,$B12)&gt;0,$B12,IF($B12="RESOLUÇÃO 049/2022-CONSUNI/CPPGEC","CAPPG - Res 49",IF($B12="OUTROS","DIREÇÃO","")))))="DIREÇÃO")*(LEFT(ApoioA,9)="DIREÇÃO -"))&gt;0))+(--(ApoioA="PPGEL +")*(((IFERROR(INDEX(ApoioA,MATCH($B12,ApoioB,0)),IF(COUNTIF(ApoioA,$B12)&gt;0,$B12,IF($B12="RESOLUÇÃO 049/2022-CONSUNI/CPPGEC","CAPPG - Res 49",IF($B12="OUTROS","DIREÇÃO","")))))="PPGE")*ApoioJ+((IFERROR(INDEX(ApoioA,MATCH($B12,ApoioB,0)),IF(COUNTIF(ApoioA,$B12)&gt;0,$B12,IF($B12="RESOLUÇÃO 049/2022-CONSUNI/CPPGEC","CAPPG - Res 49",IF($B12="OUTROS","DIREÇÃO","")))))="PPGEL")*ApoioK+((IFERROR(INDEX(ApoioA,MATCH($B12,ApoioB,0)),IF(COUNTIF(ApoioA,$B12)&gt;0,$B12,IF($B12="RESOLUÇÃO 049/2022-CONSUNI/CPPGEC","CAPPG - Res 49",IF($B12="OUTROS","DIREÇÃO","")))))="PPGH/PPGDH")*ApoioL)),ApoioG))</f>
        <v/>
      </c>
      <c r="K12" s="89">
        <f>IF(AND(ISNUMBER(I12),ISNUMBER(J12)),I12-J12,"Pendente")</f>
        <v/>
      </c>
      <c r="L12" s="70" t="n"/>
      <c r="M12" s="89">
        <f>IF(AND(ISNUMBER(G12),ISNUMBER(K12)),G12+K12,"Pendente")</f>
        <v/>
      </c>
      <c r="O12" s="67" t="inlineStr">
        <is>
          <t>Grupo principal</t>
        </is>
      </c>
      <c r="P12" s="67">
        <f>B12</f>
        <v/>
      </c>
    </row>
    <row r="13" ht="15" customHeight="1" s="61">
      <c r="A13" s="69" t="n"/>
      <c r="B13" s="87" t="inlineStr">
        <is>
          <t>Engenharia Ambiental e Sanitária</t>
        </is>
      </c>
      <c r="C13" s="88">
        <f>IF(AND(ISNUMBER(E13),ISNUMBER(I13)),E13+I13,"Pendente")</f>
        <v/>
      </c>
      <c r="D13" s="70" t="n"/>
      <c r="E13" s="88">
        <f>IF(SUMPRODUCT((--(ApoioA&lt;&gt;"")*--(((ApoioA=(IFERROR(INDEX(ApoioA,MATCH($B13,ApoioB,0)),IF(COUNTIF(ApoioA,$B13)&gt;0,$B13,IF($B13="RESOLUÇÃO 049/2022-CONSUNI/CPPGEC","CAPPG - Res 49",IF($B13="OUTROS","DIREÇÃO",""))))))+((IFERROR(INDEX(ApoioA,MATCH($B13,ApoioB,0)),IF(COUNTIF(ApoioA,$B13)&gt;0,$B13,IF($B13="RESOLUÇÃO 049/2022-CONSUNI/CPPGEC","CAPPG - Res 49",IF($B13="OUTROS","DIREÇÃO","")))))="DIREÇÃO")*(LEFT(ApoioA,9)="DIREÇÃO -"))&gt;0))+(--(ApoioA="PPGEL +")*(((IFERROR(INDEX(ApoioA,MATCH($B13,ApoioB,0)),IF(COUNTIF(ApoioA,$B13)&gt;0,$B13,IF($B13="RESOLUÇÃO 049/2022-CONSUNI/CPPGEC","CAPPG - Res 49",IF($B13="OUTROS","DIREÇÃO","")))))="PPGE")*ApoioJ+((IFERROR(INDEX(ApoioA,MATCH($B13,ApoioB,0)),IF(COUNTIF(ApoioA,$B13)&gt;0,$B13,IF($B13="RESOLUÇÃO 049/2022-CONSUNI/CPPGEC","CAPPG - Res 49",IF($B13="OUTROS","DIREÇÃO","")))))="PPGEL")*ApoioK+((IFERROR(INDEX(ApoioA,MATCH($B13,ApoioB,0)),IF(COUNTIF(ApoioA,$B13)&gt;0,$B13,IF($B13="RESOLUÇÃO 049/2022-CONSUNI/CPPGEC","CAPPG - Res 49",IF($B13="OUTROS","DIREÇÃO","")))))="PPGH/PPGDH")*ApoioL)),--ISNUMBER(ApoioD))=0,"Pendente",SUMPRODUCT((--(ApoioA&lt;&gt;"")*--(((ApoioA=(IFERROR(INDEX(ApoioA,MATCH($B13,ApoioB,0)),IF(COUNTIF(ApoioA,$B13)&gt;0,$B13,IF($B13="RESOLUÇÃO 049/2022-CONSUNI/CPPGEC","CAPPG - Res 49",IF($B13="OUTROS","DIREÇÃO",""))))))+((IFERROR(INDEX(ApoioA,MATCH($B13,ApoioB,0)),IF(COUNTIF(ApoioA,$B13)&gt;0,$B13,IF($B13="RESOLUÇÃO 049/2022-CONSUNI/CPPGEC","CAPPG - Res 49",IF($B13="OUTROS","DIREÇÃO","")))))="DIREÇÃO")*(LEFT(ApoioA,9)="DIREÇÃO -"))&gt;0))+(--(ApoioA="PPGEL +")*(((IFERROR(INDEX(ApoioA,MATCH($B13,ApoioB,0)),IF(COUNTIF(ApoioA,$B13)&gt;0,$B13,IF($B13="RESOLUÇÃO 049/2022-CONSUNI/CPPGEC","CAPPG - Res 49",IF($B13="OUTROS","DIREÇÃO","")))))="PPGE")*ApoioJ+((IFERROR(INDEX(ApoioA,MATCH($B13,ApoioB,0)),IF(COUNTIF(ApoioA,$B13)&gt;0,$B13,IF($B13="RESOLUÇÃO 049/2022-CONSUNI/CPPGEC","CAPPG - Res 49",IF($B13="OUTROS","DIREÇÃO","")))))="PPGEL")*ApoioK+((IFERROR(INDEX(ApoioA,MATCH($B13,ApoioB,0)),IF(COUNTIF(ApoioA,$B13)&gt;0,$B13,IF($B13="RESOLUÇÃO 049/2022-CONSUNI/CPPGEC","CAPPG - Res 49",IF($B13="OUTROS","DIREÇÃO","")))))="PPGH/PPGDH")*ApoioL)),ApoioD))</f>
        <v/>
      </c>
      <c r="F13" s="89">
        <f>IF(SUMPRODUCT((--(ApoioA&lt;&gt;"")*--(((ApoioA=(IFERROR(INDEX(ApoioA,MATCH($B13,ApoioB,0)),IF(COUNTIF(ApoioA,$B13)&gt;0,$B13,IF($B13="RESOLUÇÃO 049/2022-CONSUNI/CPPGEC","CAPPG - Res 49",IF($B13="OUTROS","DIREÇÃO",""))))))+((IFERROR(INDEX(ApoioA,MATCH($B13,ApoioB,0)),IF(COUNTIF(ApoioA,$B13)&gt;0,$B13,IF($B13="RESOLUÇÃO 049/2022-CONSUNI/CPPGEC","CAPPG - Res 49",IF($B13="OUTROS","DIREÇÃO","")))))="DIREÇÃO")*(LEFT(ApoioA,9)="DIREÇÃO -"))&gt;0))+(--(ApoioA="PPGEL +")*(((IFERROR(INDEX(ApoioA,MATCH($B13,ApoioB,0)),IF(COUNTIF(ApoioA,$B13)&gt;0,$B13,IF($B13="RESOLUÇÃO 049/2022-CONSUNI/CPPGEC","CAPPG - Res 49",IF($B13="OUTROS","DIREÇÃO","")))))="PPGE")*ApoioJ+((IFERROR(INDEX(ApoioA,MATCH($B13,ApoioB,0)),IF(COUNTIF(ApoioA,$B13)&gt;0,$B13,IF($B13="RESOLUÇÃO 049/2022-CONSUNI/CPPGEC","CAPPG - Res 49",IF($B13="OUTROS","DIREÇÃO","")))))="PPGEL")*ApoioK+((IFERROR(INDEX(ApoioA,MATCH($B13,ApoioB,0)),IF(COUNTIF(ApoioA,$B13)&gt;0,$B13,IF($B13="RESOLUÇÃO 049/2022-CONSUNI/CPPGEC","CAPPG - Res 49",IF($B13="OUTROS","DIREÇÃO","")))))="PPGH/PPGDH")*ApoioL)),COUNTIFS(ViagensM,ApoioA,ViagensC,"Cancelada",ViagensN,""))&gt;0,"Pendente",SUMPRODUCT((--(ApoioA&lt;&gt;"")*--(((ApoioA=(IFERROR(INDEX(ApoioA,MATCH($B13,ApoioB,0)),IF(COUNTIF(ApoioA,$B13)&gt;0,$B13,IF($B13="RESOLUÇÃO 049/2022-CONSUNI/CPPGEC","CAPPG - Res 49",IF($B13="OUTROS","DIREÇÃO",""))))))+((IFERROR(INDEX(ApoioA,MATCH($B13,ApoioB,0)),IF(COUNTIF(ApoioA,$B13)&gt;0,$B13,IF($B13="RESOLUÇÃO 049/2022-CONSUNI/CPPGEC","CAPPG - Res 49",IF($B13="OUTROS","DIREÇÃO","")))))="DIREÇÃO")*(LEFT(ApoioA,9)="DIREÇÃO -"))&gt;0))+(--(ApoioA="PPGEL +")*(((IFERROR(INDEX(ApoioA,MATCH($B13,ApoioB,0)),IF(COUNTIF(ApoioA,$B13)&gt;0,$B13,IF($B13="RESOLUÇÃO 049/2022-CONSUNI/CPPGEC","CAPPG - Res 49",IF($B13="OUTROS","DIREÇÃO","")))))="PPGE")*ApoioJ+((IFERROR(INDEX(ApoioA,MATCH($B13,ApoioB,0)),IF(COUNTIF(ApoioA,$B13)&gt;0,$B13,IF($B13="RESOLUÇÃO 049/2022-CONSUNI/CPPGEC","CAPPG - Res 49",IF($B13="OUTROS","DIREÇÃO","")))))="PPGEL")*ApoioK+((IFERROR(INDEX(ApoioA,MATCH($B13,ApoioB,0)),IF(COUNTIF(ApoioA,$B13)&gt;0,$B13,IF($B13="RESOLUÇÃO 049/2022-CONSUNI/CPPGEC","CAPPG - Res 49",IF($B13="OUTROS","DIREÇÃO","")))))="PPGH/PPGDH")*ApoioL)),(SUMIFS(ViagensK,ViagensM,ApoioA,ViagensC,"&lt;&gt;Cancelada")+SUMIFS(ViagensK,ViagensM,ApoioA,ViagensC,"Cancelada",ViagensN,"Sim"))))</f>
        <v/>
      </c>
      <c r="G13" s="89">
        <f>IF(AND(ISNUMBER(E13),ISNUMBER(F13)),E13-F13,"Pendente")</f>
        <v/>
      </c>
      <c r="H13" s="70" t="n"/>
      <c r="I13" s="88">
        <f>IF(SUMPRODUCT((--(ApoioA&lt;&gt;"")*--(((ApoioA=(IFERROR(INDEX(ApoioA,MATCH($B13,ApoioB,0)),IF(COUNTIF(ApoioA,$B13)&gt;0,$B13,IF($B13="RESOLUÇÃO 049/2022-CONSUNI/CPPGEC","CAPPG - Res 49",IF($B13="OUTROS","DIREÇÃO",""))))))+((IFERROR(INDEX(ApoioA,MATCH($B13,ApoioB,0)),IF(COUNTIF(ApoioA,$B13)&gt;0,$B13,IF($B13="RESOLUÇÃO 049/2022-CONSUNI/CPPGEC","CAPPG - Res 49",IF($B13="OUTROS","DIREÇÃO","")))))="DIREÇÃO")*(LEFT(ApoioA,9)="DIREÇÃO -"))&gt;0))+(--(ApoioA="PPGEL +")*(((IFERROR(INDEX(ApoioA,MATCH($B13,ApoioB,0)),IF(COUNTIF(ApoioA,$B13)&gt;0,$B13,IF($B13="RESOLUÇÃO 049/2022-CONSUNI/CPPGEC","CAPPG - Res 49",IF($B13="OUTROS","DIREÇÃO","")))))="PPGE")*ApoioJ+((IFERROR(INDEX(ApoioA,MATCH($B13,ApoioB,0)),IF(COUNTIF(ApoioA,$B13)&gt;0,$B13,IF($B13="RESOLUÇÃO 049/2022-CONSUNI/CPPGEC","CAPPG - Res 49",IF($B13="OUTROS","DIREÇÃO","")))))="PPGEL")*ApoioK+((IFERROR(INDEX(ApoioA,MATCH($B13,ApoioB,0)),IF(COUNTIF(ApoioA,$B13)&gt;0,$B13,IF($B13="RESOLUÇÃO 049/2022-CONSUNI/CPPGEC","CAPPG - Res 49",IF($B13="OUTROS","DIREÇÃO","")))))="PPGH/PPGDH")*ApoioL)),--ISNUMBER(ApoioE))=0,"Pendente",SUMPRODUCT((--(ApoioA&lt;&gt;"")*--(((ApoioA=(IFERROR(INDEX(ApoioA,MATCH($B13,ApoioB,0)),IF(COUNTIF(ApoioA,$B13)&gt;0,$B13,IF($B13="RESOLUÇÃO 049/2022-CONSUNI/CPPGEC","CAPPG - Res 49",IF($B13="OUTROS","DIREÇÃO",""))))))+((IFERROR(INDEX(ApoioA,MATCH($B13,ApoioB,0)),IF(COUNTIF(ApoioA,$B13)&gt;0,$B13,IF($B13="RESOLUÇÃO 049/2022-CONSUNI/CPPGEC","CAPPG - Res 49",IF($B13="OUTROS","DIREÇÃO","")))))="DIREÇÃO")*(LEFT(ApoioA,9)="DIREÇÃO -"))&gt;0))+(--(ApoioA="PPGEL +")*(((IFERROR(INDEX(ApoioA,MATCH($B13,ApoioB,0)),IF(COUNTIF(ApoioA,$B13)&gt;0,$B13,IF($B13="RESOLUÇÃO 049/2022-CONSUNI/CPPGEC","CAPPG - Res 49",IF($B13="OUTROS","DIREÇÃO","")))))="PPGE")*ApoioJ+((IFERROR(INDEX(ApoioA,MATCH($B13,ApoioB,0)),IF(COUNTIF(ApoioA,$B13)&gt;0,$B13,IF($B13="RESOLUÇÃO 049/2022-CONSUNI/CPPGEC","CAPPG - Res 49",IF($B13="OUTROS","DIREÇÃO","")))))="PPGEL")*ApoioK+((IFERROR(INDEX(ApoioA,MATCH($B13,ApoioB,0)),IF(COUNTIF(ApoioA,$B13)&gt;0,$B13,IF($B13="RESOLUÇÃO 049/2022-CONSUNI/CPPGEC","CAPPG - Res 49",IF($B13="OUTROS","DIREÇÃO","")))))="PPGH/PPGDH")*ApoioL)),ApoioE))</f>
        <v/>
      </c>
      <c r="J13" s="89">
        <f>IF(SUMPRODUCT((--(ApoioA&lt;&gt;"")*--(((ApoioA=(IFERROR(INDEX(ApoioA,MATCH($B13,ApoioB,0)),IF(COUNTIF(ApoioA,$B13)&gt;0,$B13,IF($B13="RESOLUÇÃO 049/2022-CONSUNI/CPPGEC","CAPPG - Res 49",IF($B13="OUTROS","DIREÇÃO",""))))))+((IFERROR(INDEX(ApoioA,MATCH($B13,ApoioB,0)),IF(COUNTIF(ApoioA,$B13)&gt;0,$B13,IF($B13="RESOLUÇÃO 049/2022-CONSUNI/CPPGEC","CAPPG - Res 49",IF($B13="OUTROS","DIREÇÃO","")))))="DIREÇÃO")*(LEFT(ApoioA,9)="DIREÇÃO -"))&gt;0))+(--(ApoioA="PPGEL +")*(((IFERROR(INDEX(ApoioA,MATCH($B13,ApoioB,0)),IF(COUNTIF(ApoioA,$B13)&gt;0,$B13,IF($B13="RESOLUÇÃO 049/2022-CONSUNI/CPPGEC","CAPPG - Res 49",IF($B13="OUTROS","DIREÇÃO","")))))="PPGE")*ApoioJ+((IFERROR(INDEX(ApoioA,MATCH($B13,ApoioB,0)),IF(COUNTIF(ApoioA,$B13)&gt;0,$B13,IF($B13="RESOLUÇÃO 049/2022-CONSUNI/CPPGEC","CAPPG - Res 49",IF($B13="OUTROS","DIREÇÃO","")))))="PPGEL")*ApoioK+((IFERROR(INDEX(ApoioA,MATCH($B13,ApoioB,0)),IF(COUNTIF(ApoioA,$B13)&gt;0,$B13,IF($B13="RESOLUÇÃO 049/2022-CONSUNI/CPPGEC","CAPPG - Res 49",IF($B13="OUTROS","DIREÇÃO","")))))="PPGH/PPGDH")*ApoioL)),--ISNUMBER(ApoioG))=0,"Pendente",SUMPRODUCT((--(ApoioA&lt;&gt;"")*--(((ApoioA=(IFERROR(INDEX(ApoioA,MATCH($B13,ApoioB,0)),IF(COUNTIF(ApoioA,$B13)&gt;0,$B13,IF($B13="RESOLUÇÃO 049/2022-CONSUNI/CPPGEC","CAPPG - Res 49",IF($B13="OUTROS","DIREÇÃO",""))))))+((IFERROR(INDEX(ApoioA,MATCH($B13,ApoioB,0)),IF(COUNTIF(ApoioA,$B13)&gt;0,$B13,IF($B13="RESOLUÇÃO 049/2022-CONSUNI/CPPGEC","CAPPG - Res 49",IF($B13="OUTROS","DIREÇÃO","")))))="DIREÇÃO")*(LEFT(ApoioA,9)="DIREÇÃO -"))&gt;0))+(--(ApoioA="PPGEL +")*(((IFERROR(INDEX(ApoioA,MATCH($B13,ApoioB,0)),IF(COUNTIF(ApoioA,$B13)&gt;0,$B13,IF($B13="RESOLUÇÃO 049/2022-CONSUNI/CPPGEC","CAPPG - Res 49",IF($B13="OUTROS","DIREÇÃO","")))))="PPGE")*ApoioJ+((IFERROR(INDEX(ApoioA,MATCH($B13,ApoioB,0)),IF(COUNTIF(ApoioA,$B13)&gt;0,$B13,IF($B13="RESOLUÇÃO 049/2022-CONSUNI/CPPGEC","CAPPG - Res 49",IF($B13="OUTROS","DIREÇÃO","")))))="PPGEL")*ApoioK+((IFERROR(INDEX(ApoioA,MATCH($B13,ApoioB,0)),IF(COUNTIF(ApoioA,$B13)&gt;0,$B13,IF($B13="RESOLUÇÃO 049/2022-CONSUNI/CPPGEC","CAPPG - Res 49",IF($B13="OUTROS","DIREÇÃO","")))))="PPGH/PPGDH")*ApoioL)),ApoioG))</f>
        <v/>
      </c>
      <c r="K13" s="89">
        <f>IF(AND(ISNUMBER(I13),ISNUMBER(J13)),I13-J13,"Pendente")</f>
        <v/>
      </c>
      <c r="L13" s="70" t="n"/>
      <c r="M13" s="89">
        <f>IF(AND(ISNUMBER(G13),ISNUMBER(K13)),G13+K13,"Pendente")</f>
        <v/>
      </c>
      <c r="O13" s="67" t="inlineStr">
        <is>
          <t>Grupo principal</t>
        </is>
      </c>
      <c r="P13" s="67">
        <f>B13</f>
        <v/>
      </c>
    </row>
    <row r="14" ht="15" customHeight="1" s="61">
      <c r="A14" s="69" t="n"/>
      <c r="B14" s="90" t="inlineStr">
        <is>
          <t>Engenharia Civil</t>
        </is>
      </c>
      <c r="C14" s="91">
        <f>IF(AND(ISNUMBER(E14),ISNUMBER(I14)),E14+I14,"Pendente")</f>
        <v/>
      </c>
      <c r="D14" s="70" t="n"/>
      <c r="E14" s="91">
        <f>IF(SUMPRODUCT((--(ApoioA&lt;&gt;"")*--(((ApoioA=(IFERROR(INDEX(ApoioA,MATCH($B14,ApoioB,0)),IF(COUNTIF(ApoioA,$B14)&gt;0,$B14,IF($B14="RESOLUÇÃO 049/2022-CONSUNI/CPPGEC","CAPPG - Res 49",IF($B14="OUTROS","DIREÇÃO",""))))))+((IFERROR(INDEX(ApoioA,MATCH($B14,ApoioB,0)),IF(COUNTIF(ApoioA,$B14)&gt;0,$B14,IF($B14="RESOLUÇÃO 049/2022-CONSUNI/CPPGEC","CAPPG - Res 49",IF($B14="OUTROS","DIREÇÃO","")))))="DIREÇÃO")*(LEFT(ApoioA,9)="DIREÇÃO -"))&gt;0))+(--(ApoioA="PPGEL +")*(((IFERROR(INDEX(ApoioA,MATCH($B14,ApoioB,0)),IF(COUNTIF(ApoioA,$B14)&gt;0,$B14,IF($B14="RESOLUÇÃO 049/2022-CONSUNI/CPPGEC","CAPPG - Res 49",IF($B14="OUTROS","DIREÇÃO","")))))="PPGE")*ApoioJ+((IFERROR(INDEX(ApoioA,MATCH($B14,ApoioB,0)),IF(COUNTIF(ApoioA,$B14)&gt;0,$B14,IF($B14="RESOLUÇÃO 049/2022-CONSUNI/CPPGEC","CAPPG - Res 49",IF($B14="OUTROS","DIREÇÃO","")))))="PPGEL")*ApoioK+((IFERROR(INDEX(ApoioA,MATCH($B14,ApoioB,0)),IF(COUNTIF(ApoioA,$B14)&gt;0,$B14,IF($B14="RESOLUÇÃO 049/2022-CONSUNI/CPPGEC","CAPPG - Res 49",IF($B14="OUTROS","DIREÇÃO","")))))="PPGH/PPGDH")*ApoioL)),--ISNUMBER(ApoioD))=0,"Pendente",SUMPRODUCT((--(ApoioA&lt;&gt;"")*--(((ApoioA=(IFERROR(INDEX(ApoioA,MATCH($B14,ApoioB,0)),IF(COUNTIF(ApoioA,$B14)&gt;0,$B14,IF($B14="RESOLUÇÃO 049/2022-CONSUNI/CPPGEC","CAPPG - Res 49",IF($B14="OUTROS","DIREÇÃO",""))))))+((IFERROR(INDEX(ApoioA,MATCH($B14,ApoioB,0)),IF(COUNTIF(ApoioA,$B14)&gt;0,$B14,IF($B14="RESOLUÇÃO 049/2022-CONSUNI/CPPGEC","CAPPG - Res 49",IF($B14="OUTROS","DIREÇÃO","")))))="DIREÇÃO")*(LEFT(ApoioA,9)="DIREÇÃO -"))&gt;0))+(--(ApoioA="PPGEL +")*(((IFERROR(INDEX(ApoioA,MATCH($B14,ApoioB,0)),IF(COUNTIF(ApoioA,$B14)&gt;0,$B14,IF($B14="RESOLUÇÃO 049/2022-CONSUNI/CPPGEC","CAPPG - Res 49",IF($B14="OUTROS","DIREÇÃO","")))))="PPGE")*ApoioJ+((IFERROR(INDEX(ApoioA,MATCH($B14,ApoioB,0)),IF(COUNTIF(ApoioA,$B14)&gt;0,$B14,IF($B14="RESOLUÇÃO 049/2022-CONSUNI/CPPGEC","CAPPG - Res 49",IF($B14="OUTROS","DIREÇÃO","")))))="PPGEL")*ApoioK+((IFERROR(INDEX(ApoioA,MATCH($B14,ApoioB,0)),IF(COUNTIF(ApoioA,$B14)&gt;0,$B14,IF($B14="RESOLUÇÃO 049/2022-CONSUNI/CPPGEC","CAPPG - Res 49",IF($B14="OUTROS","DIREÇÃO","")))))="PPGH/PPGDH")*ApoioL)),ApoioD))</f>
        <v/>
      </c>
      <c r="F14" s="92">
        <f>IF(SUMPRODUCT((--(ApoioA&lt;&gt;"")*--(((ApoioA=(IFERROR(INDEX(ApoioA,MATCH($B14,ApoioB,0)),IF(COUNTIF(ApoioA,$B14)&gt;0,$B14,IF($B14="RESOLUÇÃO 049/2022-CONSUNI/CPPGEC","CAPPG - Res 49",IF($B14="OUTROS","DIREÇÃO",""))))))+((IFERROR(INDEX(ApoioA,MATCH($B14,ApoioB,0)),IF(COUNTIF(ApoioA,$B14)&gt;0,$B14,IF($B14="RESOLUÇÃO 049/2022-CONSUNI/CPPGEC","CAPPG - Res 49",IF($B14="OUTROS","DIREÇÃO","")))))="DIREÇÃO")*(LEFT(ApoioA,9)="DIREÇÃO -"))&gt;0))+(--(ApoioA="PPGEL +")*(((IFERROR(INDEX(ApoioA,MATCH($B14,ApoioB,0)),IF(COUNTIF(ApoioA,$B14)&gt;0,$B14,IF($B14="RESOLUÇÃO 049/2022-CONSUNI/CPPGEC","CAPPG - Res 49",IF($B14="OUTROS","DIREÇÃO","")))))="PPGE")*ApoioJ+((IFERROR(INDEX(ApoioA,MATCH($B14,ApoioB,0)),IF(COUNTIF(ApoioA,$B14)&gt;0,$B14,IF($B14="RESOLUÇÃO 049/2022-CONSUNI/CPPGEC","CAPPG - Res 49",IF($B14="OUTROS","DIREÇÃO","")))))="PPGEL")*ApoioK+((IFERROR(INDEX(ApoioA,MATCH($B14,ApoioB,0)),IF(COUNTIF(ApoioA,$B14)&gt;0,$B14,IF($B14="RESOLUÇÃO 049/2022-CONSUNI/CPPGEC","CAPPG - Res 49",IF($B14="OUTROS","DIREÇÃO","")))))="PPGH/PPGDH")*ApoioL)),COUNTIFS(ViagensM,ApoioA,ViagensC,"Cancelada",ViagensN,""))&gt;0,"Pendente",SUMPRODUCT((--(ApoioA&lt;&gt;"")*--(((ApoioA=(IFERROR(INDEX(ApoioA,MATCH($B14,ApoioB,0)),IF(COUNTIF(ApoioA,$B14)&gt;0,$B14,IF($B14="RESOLUÇÃO 049/2022-CONSUNI/CPPGEC","CAPPG - Res 49",IF($B14="OUTROS","DIREÇÃO",""))))))+((IFERROR(INDEX(ApoioA,MATCH($B14,ApoioB,0)),IF(COUNTIF(ApoioA,$B14)&gt;0,$B14,IF($B14="RESOLUÇÃO 049/2022-CONSUNI/CPPGEC","CAPPG - Res 49",IF($B14="OUTROS","DIREÇÃO","")))))="DIREÇÃO")*(LEFT(ApoioA,9)="DIREÇÃO -"))&gt;0))+(--(ApoioA="PPGEL +")*(((IFERROR(INDEX(ApoioA,MATCH($B14,ApoioB,0)),IF(COUNTIF(ApoioA,$B14)&gt;0,$B14,IF($B14="RESOLUÇÃO 049/2022-CONSUNI/CPPGEC","CAPPG - Res 49",IF($B14="OUTROS","DIREÇÃO","")))))="PPGE")*ApoioJ+((IFERROR(INDEX(ApoioA,MATCH($B14,ApoioB,0)),IF(COUNTIF(ApoioA,$B14)&gt;0,$B14,IF($B14="RESOLUÇÃO 049/2022-CONSUNI/CPPGEC","CAPPG - Res 49",IF($B14="OUTROS","DIREÇÃO","")))))="PPGEL")*ApoioK+((IFERROR(INDEX(ApoioA,MATCH($B14,ApoioB,0)),IF(COUNTIF(ApoioA,$B14)&gt;0,$B14,IF($B14="RESOLUÇÃO 049/2022-CONSUNI/CPPGEC","CAPPG - Res 49",IF($B14="OUTROS","DIREÇÃO","")))))="PPGH/PPGDH")*ApoioL)),(SUMIFS(ViagensK,ViagensM,ApoioA,ViagensC,"&lt;&gt;Cancelada")+SUMIFS(ViagensK,ViagensM,ApoioA,ViagensC,"Cancelada",ViagensN,"Sim"))))</f>
        <v/>
      </c>
      <c r="G14" s="92">
        <f>IF(AND(ISNUMBER(E14),ISNUMBER(F14)),E14-F14,"Pendente")</f>
        <v/>
      </c>
      <c r="H14" s="80" t="n"/>
      <c r="I14" s="91">
        <f>IF(SUMPRODUCT((--(ApoioA&lt;&gt;"")*--(((ApoioA=(IFERROR(INDEX(ApoioA,MATCH($B14,ApoioB,0)),IF(COUNTIF(ApoioA,$B14)&gt;0,$B14,IF($B14="RESOLUÇÃO 049/2022-CONSUNI/CPPGEC","CAPPG - Res 49",IF($B14="OUTROS","DIREÇÃO",""))))))+((IFERROR(INDEX(ApoioA,MATCH($B14,ApoioB,0)),IF(COUNTIF(ApoioA,$B14)&gt;0,$B14,IF($B14="RESOLUÇÃO 049/2022-CONSUNI/CPPGEC","CAPPG - Res 49",IF($B14="OUTROS","DIREÇÃO","")))))="DIREÇÃO")*(LEFT(ApoioA,9)="DIREÇÃO -"))&gt;0))+(--(ApoioA="PPGEL +")*(((IFERROR(INDEX(ApoioA,MATCH($B14,ApoioB,0)),IF(COUNTIF(ApoioA,$B14)&gt;0,$B14,IF($B14="RESOLUÇÃO 049/2022-CONSUNI/CPPGEC","CAPPG - Res 49",IF($B14="OUTROS","DIREÇÃO","")))))="PPGE")*ApoioJ+((IFERROR(INDEX(ApoioA,MATCH($B14,ApoioB,0)),IF(COUNTIF(ApoioA,$B14)&gt;0,$B14,IF($B14="RESOLUÇÃO 049/2022-CONSUNI/CPPGEC","CAPPG - Res 49",IF($B14="OUTROS","DIREÇÃO","")))))="PPGEL")*ApoioK+((IFERROR(INDEX(ApoioA,MATCH($B14,ApoioB,0)),IF(COUNTIF(ApoioA,$B14)&gt;0,$B14,IF($B14="RESOLUÇÃO 049/2022-CONSUNI/CPPGEC","CAPPG - Res 49",IF($B14="OUTROS","DIREÇÃO","")))))="PPGH/PPGDH")*ApoioL)),--ISNUMBER(ApoioE))=0,"Pendente",SUMPRODUCT((--(ApoioA&lt;&gt;"")*--(((ApoioA=(IFERROR(INDEX(ApoioA,MATCH($B14,ApoioB,0)),IF(COUNTIF(ApoioA,$B14)&gt;0,$B14,IF($B14="RESOLUÇÃO 049/2022-CONSUNI/CPPGEC","CAPPG - Res 49",IF($B14="OUTROS","DIREÇÃO",""))))))+((IFERROR(INDEX(ApoioA,MATCH($B14,ApoioB,0)),IF(COUNTIF(ApoioA,$B14)&gt;0,$B14,IF($B14="RESOLUÇÃO 049/2022-CONSUNI/CPPGEC","CAPPG - Res 49",IF($B14="OUTROS","DIREÇÃO","")))))="DIREÇÃO")*(LEFT(ApoioA,9)="DIREÇÃO -"))&gt;0))+(--(ApoioA="PPGEL +")*(((IFERROR(INDEX(ApoioA,MATCH($B14,ApoioB,0)),IF(COUNTIF(ApoioA,$B14)&gt;0,$B14,IF($B14="RESOLUÇÃO 049/2022-CONSUNI/CPPGEC","CAPPG - Res 49",IF($B14="OUTROS","DIREÇÃO","")))))="PPGE")*ApoioJ+((IFERROR(INDEX(ApoioA,MATCH($B14,ApoioB,0)),IF(COUNTIF(ApoioA,$B14)&gt;0,$B14,IF($B14="RESOLUÇÃO 049/2022-CONSUNI/CPPGEC","CAPPG - Res 49",IF($B14="OUTROS","DIREÇÃO","")))))="PPGEL")*ApoioK+((IFERROR(INDEX(ApoioA,MATCH($B14,ApoioB,0)),IF(COUNTIF(ApoioA,$B14)&gt;0,$B14,IF($B14="RESOLUÇÃO 049/2022-CONSUNI/CPPGEC","CAPPG - Res 49",IF($B14="OUTROS","DIREÇÃO","")))))="PPGH/PPGDH")*ApoioL)),ApoioE))</f>
        <v/>
      </c>
      <c r="J14" s="92">
        <f>IF(SUMPRODUCT((--(ApoioA&lt;&gt;"")*--(((ApoioA=(IFERROR(INDEX(ApoioA,MATCH($B14,ApoioB,0)),IF(COUNTIF(ApoioA,$B14)&gt;0,$B14,IF($B14="RESOLUÇÃO 049/2022-CONSUNI/CPPGEC","CAPPG - Res 49",IF($B14="OUTROS","DIREÇÃO",""))))))+((IFERROR(INDEX(ApoioA,MATCH($B14,ApoioB,0)),IF(COUNTIF(ApoioA,$B14)&gt;0,$B14,IF($B14="RESOLUÇÃO 049/2022-CONSUNI/CPPGEC","CAPPG - Res 49",IF($B14="OUTROS","DIREÇÃO","")))))="DIREÇÃO")*(LEFT(ApoioA,9)="DIREÇÃO -"))&gt;0))+(--(ApoioA="PPGEL +")*(((IFERROR(INDEX(ApoioA,MATCH($B14,ApoioB,0)),IF(COUNTIF(ApoioA,$B14)&gt;0,$B14,IF($B14="RESOLUÇÃO 049/2022-CONSUNI/CPPGEC","CAPPG - Res 49",IF($B14="OUTROS","DIREÇÃO","")))))="PPGE")*ApoioJ+((IFERROR(INDEX(ApoioA,MATCH($B14,ApoioB,0)),IF(COUNTIF(ApoioA,$B14)&gt;0,$B14,IF($B14="RESOLUÇÃO 049/2022-CONSUNI/CPPGEC","CAPPG - Res 49",IF($B14="OUTROS","DIREÇÃO","")))))="PPGEL")*ApoioK+((IFERROR(INDEX(ApoioA,MATCH($B14,ApoioB,0)),IF(COUNTIF(ApoioA,$B14)&gt;0,$B14,IF($B14="RESOLUÇÃO 049/2022-CONSUNI/CPPGEC","CAPPG - Res 49",IF($B14="OUTROS","DIREÇÃO","")))))="PPGH/PPGDH")*ApoioL)),--ISNUMBER(ApoioG))=0,"Pendente",SUMPRODUCT((--(ApoioA&lt;&gt;"")*--(((ApoioA=(IFERROR(INDEX(ApoioA,MATCH($B14,ApoioB,0)),IF(COUNTIF(ApoioA,$B14)&gt;0,$B14,IF($B14="RESOLUÇÃO 049/2022-CONSUNI/CPPGEC","CAPPG - Res 49",IF($B14="OUTROS","DIREÇÃO",""))))))+((IFERROR(INDEX(ApoioA,MATCH($B14,ApoioB,0)),IF(COUNTIF(ApoioA,$B14)&gt;0,$B14,IF($B14="RESOLUÇÃO 049/2022-CONSUNI/CPPGEC","CAPPG - Res 49",IF($B14="OUTROS","DIREÇÃO","")))))="DIREÇÃO")*(LEFT(ApoioA,9)="DIREÇÃO -"))&gt;0))+(--(ApoioA="PPGEL +")*(((IFERROR(INDEX(ApoioA,MATCH($B14,ApoioB,0)),IF(COUNTIF(ApoioA,$B14)&gt;0,$B14,IF($B14="RESOLUÇÃO 049/2022-CONSUNI/CPPGEC","CAPPG - Res 49",IF($B14="OUTROS","DIREÇÃO","")))))="PPGE")*ApoioJ+((IFERROR(INDEX(ApoioA,MATCH($B14,ApoioB,0)),IF(COUNTIF(ApoioA,$B14)&gt;0,$B14,IF($B14="RESOLUÇÃO 049/2022-CONSUNI/CPPGEC","CAPPG - Res 49",IF($B14="OUTROS","DIREÇÃO","")))))="PPGEL")*ApoioK+((IFERROR(INDEX(ApoioA,MATCH($B14,ApoioB,0)),IF(COUNTIF(ApoioA,$B14)&gt;0,$B14,IF($B14="RESOLUÇÃO 049/2022-CONSUNI/CPPGEC","CAPPG - Res 49",IF($B14="OUTROS","DIREÇÃO","")))))="PPGH/PPGDH")*ApoioL)),ApoioG))</f>
        <v/>
      </c>
      <c r="K14" s="92">
        <f>IF(AND(ISNUMBER(I14),ISNUMBER(J14)),I14-J14,"Pendente")</f>
        <v/>
      </c>
      <c r="L14" s="70" t="n"/>
      <c r="M14" s="92">
        <f>IF(AND(ISNUMBER(G14),ISNUMBER(K14)),G14+K14,"Pendente")</f>
        <v/>
      </c>
      <c r="O14" s="67" t="inlineStr">
        <is>
          <t>Grupo principal</t>
        </is>
      </c>
      <c r="P14" s="67">
        <f>B14</f>
        <v/>
      </c>
    </row>
    <row r="15" ht="15" customHeight="1" s="61">
      <c r="A15" s="69" t="n"/>
      <c r="B15" s="87" t="inlineStr">
        <is>
          <t>Filosofia</t>
        </is>
      </c>
      <c r="C15" s="88">
        <f>IF(AND(ISNUMBER(E15),ISNUMBER(I15)),E15+I15,"Pendente")</f>
        <v/>
      </c>
      <c r="D15" s="70" t="n"/>
      <c r="E15" s="88">
        <f>IF(SUMPRODUCT((--(ApoioA&lt;&gt;"")*--(((ApoioA=(IFERROR(INDEX(ApoioA,MATCH($B15,ApoioB,0)),IF(COUNTIF(ApoioA,$B15)&gt;0,$B15,IF($B15="RESOLUÇÃO 049/2022-CONSUNI/CPPGEC","CAPPG - Res 49",IF($B15="OUTROS","DIREÇÃO",""))))))+((IFERROR(INDEX(ApoioA,MATCH($B15,ApoioB,0)),IF(COUNTIF(ApoioA,$B15)&gt;0,$B15,IF($B15="RESOLUÇÃO 049/2022-CONSUNI/CPPGEC","CAPPG - Res 49",IF($B15="OUTROS","DIREÇÃO","")))))="DIREÇÃO")*(LEFT(ApoioA,9)="DIREÇÃO -"))&gt;0))+(--(ApoioA="PPGEL +")*(((IFERROR(INDEX(ApoioA,MATCH($B15,ApoioB,0)),IF(COUNTIF(ApoioA,$B15)&gt;0,$B15,IF($B15="RESOLUÇÃO 049/2022-CONSUNI/CPPGEC","CAPPG - Res 49",IF($B15="OUTROS","DIREÇÃO","")))))="PPGE")*ApoioJ+((IFERROR(INDEX(ApoioA,MATCH($B15,ApoioB,0)),IF(COUNTIF(ApoioA,$B15)&gt;0,$B15,IF($B15="RESOLUÇÃO 049/2022-CONSUNI/CPPGEC","CAPPG - Res 49",IF($B15="OUTROS","DIREÇÃO","")))))="PPGEL")*ApoioK+((IFERROR(INDEX(ApoioA,MATCH($B15,ApoioB,0)),IF(COUNTIF(ApoioA,$B15)&gt;0,$B15,IF($B15="RESOLUÇÃO 049/2022-CONSUNI/CPPGEC","CAPPG - Res 49",IF($B15="OUTROS","DIREÇÃO","")))))="PPGH/PPGDH")*ApoioL)),--ISNUMBER(ApoioD))=0,"Pendente",SUMPRODUCT((--(ApoioA&lt;&gt;"")*--(((ApoioA=(IFERROR(INDEX(ApoioA,MATCH($B15,ApoioB,0)),IF(COUNTIF(ApoioA,$B15)&gt;0,$B15,IF($B15="RESOLUÇÃO 049/2022-CONSUNI/CPPGEC","CAPPG - Res 49",IF($B15="OUTROS","DIREÇÃO",""))))))+((IFERROR(INDEX(ApoioA,MATCH($B15,ApoioB,0)),IF(COUNTIF(ApoioA,$B15)&gt;0,$B15,IF($B15="RESOLUÇÃO 049/2022-CONSUNI/CPPGEC","CAPPG - Res 49",IF($B15="OUTROS","DIREÇÃO","")))))="DIREÇÃO")*(LEFT(ApoioA,9)="DIREÇÃO -"))&gt;0))+(--(ApoioA="PPGEL +")*(((IFERROR(INDEX(ApoioA,MATCH($B15,ApoioB,0)),IF(COUNTIF(ApoioA,$B15)&gt;0,$B15,IF($B15="RESOLUÇÃO 049/2022-CONSUNI/CPPGEC","CAPPG - Res 49",IF($B15="OUTROS","DIREÇÃO","")))))="PPGE")*ApoioJ+((IFERROR(INDEX(ApoioA,MATCH($B15,ApoioB,0)),IF(COUNTIF(ApoioA,$B15)&gt;0,$B15,IF($B15="RESOLUÇÃO 049/2022-CONSUNI/CPPGEC","CAPPG - Res 49",IF($B15="OUTROS","DIREÇÃO","")))))="PPGEL")*ApoioK+((IFERROR(INDEX(ApoioA,MATCH($B15,ApoioB,0)),IF(COUNTIF(ApoioA,$B15)&gt;0,$B15,IF($B15="RESOLUÇÃO 049/2022-CONSUNI/CPPGEC","CAPPG - Res 49",IF($B15="OUTROS","DIREÇÃO","")))))="PPGH/PPGDH")*ApoioL)),ApoioD))</f>
        <v/>
      </c>
      <c r="F15" s="89">
        <f>IF(SUMPRODUCT((--(ApoioA&lt;&gt;"")*--(((ApoioA=(IFERROR(INDEX(ApoioA,MATCH($B15,ApoioB,0)),IF(COUNTIF(ApoioA,$B15)&gt;0,$B15,IF($B15="RESOLUÇÃO 049/2022-CONSUNI/CPPGEC","CAPPG - Res 49",IF($B15="OUTROS","DIREÇÃO",""))))))+((IFERROR(INDEX(ApoioA,MATCH($B15,ApoioB,0)),IF(COUNTIF(ApoioA,$B15)&gt;0,$B15,IF($B15="RESOLUÇÃO 049/2022-CONSUNI/CPPGEC","CAPPG - Res 49",IF($B15="OUTROS","DIREÇÃO","")))))="DIREÇÃO")*(LEFT(ApoioA,9)="DIREÇÃO -"))&gt;0))+(--(ApoioA="PPGEL +")*(((IFERROR(INDEX(ApoioA,MATCH($B15,ApoioB,0)),IF(COUNTIF(ApoioA,$B15)&gt;0,$B15,IF($B15="RESOLUÇÃO 049/2022-CONSUNI/CPPGEC","CAPPG - Res 49",IF($B15="OUTROS","DIREÇÃO","")))))="PPGE")*ApoioJ+((IFERROR(INDEX(ApoioA,MATCH($B15,ApoioB,0)),IF(COUNTIF(ApoioA,$B15)&gt;0,$B15,IF($B15="RESOLUÇÃO 049/2022-CONSUNI/CPPGEC","CAPPG - Res 49",IF($B15="OUTROS","DIREÇÃO","")))))="PPGEL")*ApoioK+((IFERROR(INDEX(ApoioA,MATCH($B15,ApoioB,0)),IF(COUNTIF(ApoioA,$B15)&gt;0,$B15,IF($B15="RESOLUÇÃO 049/2022-CONSUNI/CPPGEC","CAPPG - Res 49",IF($B15="OUTROS","DIREÇÃO","")))))="PPGH/PPGDH")*ApoioL)),COUNTIFS(ViagensM,ApoioA,ViagensC,"Cancelada",ViagensN,""))&gt;0,"Pendente",SUMPRODUCT((--(ApoioA&lt;&gt;"")*--(((ApoioA=(IFERROR(INDEX(ApoioA,MATCH($B15,ApoioB,0)),IF(COUNTIF(ApoioA,$B15)&gt;0,$B15,IF($B15="RESOLUÇÃO 049/2022-CONSUNI/CPPGEC","CAPPG - Res 49",IF($B15="OUTROS","DIREÇÃO",""))))))+((IFERROR(INDEX(ApoioA,MATCH($B15,ApoioB,0)),IF(COUNTIF(ApoioA,$B15)&gt;0,$B15,IF($B15="RESOLUÇÃO 049/2022-CONSUNI/CPPGEC","CAPPG - Res 49",IF($B15="OUTROS","DIREÇÃO","")))))="DIREÇÃO")*(LEFT(ApoioA,9)="DIREÇÃO -"))&gt;0))+(--(ApoioA="PPGEL +")*(((IFERROR(INDEX(ApoioA,MATCH($B15,ApoioB,0)),IF(COUNTIF(ApoioA,$B15)&gt;0,$B15,IF($B15="RESOLUÇÃO 049/2022-CONSUNI/CPPGEC","CAPPG - Res 49",IF($B15="OUTROS","DIREÇÃO","")))))="PPGE")*ApoioJ+((IFERROR(INDEX(ApoioA,MATCH($B15,ApoioB,0)),IF(COUNTIF(ApoioA,$B15)&gt;0,$B15,IF($B15="RESOLUÇÃO 049/2022-CONSUNI/CPPGEC","CAPPG - Res 49",IF($B15="OUTROS","DIREÇÃO","")))))="PPGEL")*ApoioK+((IFERROR(INDEX(ApoioA,MATCH($B15,ApoioB,0)),IF(COUNTIF(ApoioA,$B15)&gt;0,$B15,IF($B15="RESOLUÇÃO 049/2022-CONSUNI/CPPGEC","CAPPG - Res 49",IF($B15="OUTROS","DIREÇÃO","")))))="PPGH/PPGDH")*ApoioL)),(SUMIFS(ViagensK,ViagensM,ApoioA,ViagensC,"&lt;&gt;Cancelada")+SUMIFS(ViagensK,ViagensM,ApoioA,ViagensC,"Cancelada",ViagensN,"Sim"))))</f>
        <v/>
      </c>
      <c r="G15" s="89">
        <f>IF(AND(ISNUMBER(E15),ISNUMBER(F15)),E15-F15,"Pendente")</f>
        <v/>
      </c>
      <c r="H15" s="70" t="n"/>
      <c r="I15" s="88">
        <f>IF(SUMPRODUCT((--(ApoioA&lt;&gt;"")*--(((ApoioA=(IFERROR(INDEX(ApoioA,MATCH($B15,ApoioB,0)),IF(COUNTIF(ApoioA,$B15)&gt;0,$B15,IF($B15="RESOLUÇÃO 049/2022-CONSUNI/CPPGEC","CAPPG - Res 49",IF($B15="OUTROS","DIREÇÃO",""))))))+((IFERROR(INDEX(ApoioA,MATCH($B15,ApoioB,0)),IF(COUNTIF(ApoioA,$B15)&gt;0,$B15,IF($B15="RESOLUÇÃO 049/2022-CONSUNI/CPPGEC","CAPPG - Res 49",IF($B15="OUTROS","DIREÇÃO","")))))="DIREÇÃO")*(LEFT(ApoioA,9)="DIREÇÃO -"))&gt;0))+(--(ApoioA="PPGEL +")*(((IFERROR(INDEX(ApoioA,MATCH($B15,ApoioB,0)),IF(COUNTIF(ApoioA,$B15)&gt;0,$B15,IF($B15="RESOLUÇÃO 049/2022-CONSUNI/CPPGEC","CAPPG - Res 49",IF($B15="OUTROS","DIREÇÃO","")))))="PPGE")*ApoioJ+((IFERROR(INDEX(ApoioA,MATCH($B15,ApoioB,0)),IF(COUNTIF(ApoioA,$B15)&gt;0,$B15,IF($B15="RESOLUÇÃO 049/2022-CONSUNI/CPPGEC","CAPPG - Res 49",IF($B15="OUTROS","DIREÇÃO","")))))="PPGEL")*ApoioK+((IFERROR(INDEX(ApoioA,MATCH($B15,ApoioB,0)),IF(COUNTIF(ApoioA,$B15)&gt;0,$B15,IF($B15="RESOLUÇÃO 049/2022-CONSUNI/CPPGEC","CAPPG - Res 49",IF($B15="OUTROS","DIREÇÃO","")))))="PPGH/PPGDH")*ApoioL)),--ISNUMBER(ApoioE))=0,"Pendente",SUMPRODUCT((--(ApoioA&lt;&gt;"")*--(((ApoioA=(IFERROR(INDEX(ApoioA,MATCH($B15,ApoioB,0)),IF(COUNTIF(ApoioA,$B15)&gt;0,$B15,IF($B15="RESOLUÇÃO 049/2022-CONSUNI/CPPGEC","CAPPG - Res 49",IF($B15="OUTROS","DIREÇÃO",""))))))+((IFERROR(INDEX(ApoioA,MATCH($B15,ApoioB,0)),IF(COUNTIF(ApoioA,$B15)&gt;0,$B15,IF($B15="RESOLUÇÃO 049/2022-CONSUNI/CPPGEC","CAPPG - Res 49",IF($B15="OUTROS","DIREÇÃO","")))))="DIREÇÃO")*(LEFT(ApoioA,9)="DIREÇÃO -"))&gt;0))+(--(ApoioA="PPGEL +")*(((IFERROR(INDEX(ApoioA,MATCH($B15,ApoioB,0)),IF(COUNTIF(ApoioA,$B15)&gt;0,$B15,IF($B15="RESOLUÇÃO 049/2022-CONSUNI/CPPGEC","CAPPG - Res 49",IF($B15="OUTROS","DIREÇÃO","")))))="PPGE")*ApoioJ+((IFERROR(INDEX(ApoioA,MATCH($B15,ApoioB,0)),IF(COUNTIF(ApoioA,$B15)&gt;0,$B15,IF($B15="RESOLUÇÃO 049/2022-CONSUNI/CPPGEC","CAPPG - Res 49",IF($B15="OUTROS","DIREÇÃO","")))))="PPGEL")*ApoioK+((IFERROR(INDEX(ApoioA,MATCH($B15,ApoioB,0)),IF(COUNTIF(ApoioA,$B15)&gt;0,$B15,IF($B15="RESOLUÇÃO 049/2022-CONSUNI/CPPGEC","CAPPG - Res 49",IF($B15="OUTROS","DIREÇÃO","")))))="PPGH/PPGDH")*ApoioL)),ApoioE))</f>
        <v/>
      </c>
      <c r="J15" s="89">
        <f>IF(SUMPRODUCT((--(ApoioA&lt;&gt;"")*--(((ApoioA=(IFERROR(INDEX(ApoioA,MATCH($B15,ApoioB,0)),IF(COUNTIF(ApoioA,$B15)&gt;0,$B15,IF($B15="RESOLUÇÃO 049/2022-CONSUNI/CPPGEC","CAPPG - Res 49",IF($B15="OUTROS","DIREÇÃO",""))))))+((IFERROR(INDEX(ApoioA,MATCH($B15,ApoioB,0)),IF(COUNTIF(ApoioA,$B15)&gt;0,$B15,IF($B15="RESOLUÇÃO 049/2022-CONSUNI/CPPGEC","CAPPG - Res 49",IF($B15="OUTROS","DIREÇÃO","")))))="DIREÇÃO")*(LEFT(ApoioA,9)="DIREÇÃO -"))&gt;0))+(--(ApoioA="PPGEL +")*(((IFERROR(INDEX(ApoioA,MATCH($B15,ApoioB,0)),IF(COUNTIF(ApoioA,$B15)&gt;0,$B15,IF($B15="RESOLUÇÃO 049/2022-CONSUNI/CPPGEC","CAPPG - Res 49",IF($B15="OUTROS","DIREÇÃO","")))))="PPGE")*ApoioJ+((IFERROR(INDEX(ApoioA,MATCH($B15,ApoioB,0)),IF(COUNTIF(ApoioA,$B15)&gt;0,$B15,IF($B15="RESOLUÇÃO 049/2022-CONSUNI/CPPGEC","CAPPG - Res 49",IF($B15="OUTROS","DIREÇÃO","")))))="PPGEL")*ApoioK+((IFERROR(INDEX(ApoioA,MATCH($B15,ApoioB,0)),IF(COUNTIF(ApoioA,$B15)&gt;0,$B15,IF($B15="RESOLUÇÃO 049/2022-CONSUNI/CPPGEC","CAPPG - Res 49",IF($B15="OUTROS","DIREÇÃO","")))))="PPGH/PPGDH")*ApoioL)),--ISNUMBER(ApoioG))=0,"Pendente",SUMPRODUCT((--(ApoioA&lt;&gt;"")*--(((ApoioA=(IFERROR(INDEX(ApoioA,MATCH($B15,ApoioB,0)),IF(COUNTIF(ApoioA,$B15)&gt;0,$B15,IF($B15="RESOLUÇÃO 049/2022-CONSUNI/CPPGEC","CAPPG - Res 49",IF($B15="OUTROS","DIREÇÃO",""))))))+((IFERROR(INDEX(ApoioA,MATCH($B15,ApoioB,0)),IF(COUNTIF(ApoioA,$B15)&gt;0,$B15,IF($B15="RESOLUÇÃO 049/2022-CONSUNI/CPPGEC","CAPPG - Res 49",IF($B15="OUTROS","DIREÇÃO","")))))="DIREÇÃO")*(LEFT(ApoioA,9)="DIREÇÃO -"))&gt;0))+(--(ApoioA="PPGEL +")*(((IFERROR(INDEX(ApoioA,MATCH($B15,ApoioB,0)),IF(COUNTIF(ApoioA,$B15)&gt;0,$B15,IF($B15="RESOLUÇÃO 049/2022-CONSUNI/CPPGEC","CAPPG - Res 49",IF($B15="OUTROS","DIREÇÃO","")))))="PPGE")*ApoioJ+((IFERROR(INDEX(ApoioA,MATCH($B15,ApoioB,0)),IF(COUNTIF(ApoioA,$B15)&gt;0,$B15,IF($B15="RESOLUÇÃO 049/2022-CONSUNI/CPPGEC","CAPPG - Res 49",IF($B15="OUTROS","DIREÇÃO","")))))="PPGEL")*ApoioK+((IFERROR(INDEX(ApoioA,MATCH($B15,ApoioB,0)),IF(COUNTIF(ApoioA,$B15)&gt;0,$B15,IF($B15="RESOLUÇÃO 049/2022-CONSUNI/CPPGEC","CAPPG - Res 49",IF($B15="OUTROS","DIREÇÃO","")))))="PPGH/PPGDH")*ApoioL)),ApoioG))</f>
        <v/>
      </c>
      <c r="K15" s="89">
        <f>IF(AND(ISNUMBER(I15),ISNUMBER(J15)),I15-J15,"Pendente")</f>
        <v/>
      </c>
      <c r="L15" s="70" t="n"/>
      <c r="M15" s="89">
        <f>IF(AND(ISNUMBER(G15),ISNUMBER(K15)),G15+K15,"Pendente")</f>
        <v/>
      </c>
      <c r="O15" s="67" t="inlineStr">
        <is>
          <t>Grupo principal</t>
        </is>
      </c>
      <c r="P15" s="67">
        <f>B15</f>
        <v/>
      </c>
    </row>
    <row r="16" ht="15" customHeight="1" s="61">
      <c r="A16" s="69" t="n"/>
      <c r="B16" s="87" t="inlineStr">
        <is>
          <t>Geografia</t>
        </is>
      </c>
      <c r="C16" s="88">
        <f>IF(AND(ISNUMBER(E16),ISNUMBER(I16)),E16+I16,"Pendente")</f>
        <v/>
      </c>
      <c r="D16" s="70" t="n"/>
      <c r="E16" s="88">
        <f>IF(SUMPRODUCT((--(ApoioA&lt;&gt;"")*--(((ApoioA=(IFERROR(INDEX(ApoioA,MATCH($B16,ApoioB,0)),IF(COUNTIF(ApoioA,$B16)&gt;0,$B16,IF($B16="RESOLUÇÃO 049/2022-CONSUNI/CPPGEC","CAPPG - Res 49",IF($B16="OUTROS","DIREÇÃO",""))))))+((IFERROR(INDEX(ApoioA,MATCH($B16,ApoioB,0)),IF(COUNTIF(ApoioA,$B16)&gt;0,$B16,IF($B16="RESOLUÇÃO 049/2022-CONSUNI/CPPGEC","CAPPG - Res 49",IF($B16="OUTROS","DIREÇÃO","")))))="DIREÇÃO")*(LEFT(ApoioA,9)="DIREÇÃO -"))&gt;0))+(--(ApoioA="PPGEL +")*(((IFERROR(INDEX(ApoioA,MATCH($B16,ApoioB,0)),IF(COUNTIF(ApoioA,$B16)&gt;0,$B16,IF($B16="RESOLUÇÃO 049/2022-CONSUNI/CPPGEC","CAPPG - Res 49",IF($B16="OUTROS","DIREÇÃO","")))))="PPGE")*ApoioJ+((IFERROR(INDEX(ApoioA,MATCH($B16,ApoioB,0)),IF(COUNTIF(ApoioA,$B16)&gt;0,$B16,IF($B16="RESOLUÇÃO 049/2022-CONSUNI/CPPGEC","CAPPG - Res 49",IF($B16="OUTROS","DIREÇÃO","")))))="PPGEL")*ApoioK+((IFERROR(INDEX(ApoioA,MATCH($B16,ApoioB,0)),IF(COUNTIF(ApoioA,$B16)&gt;0,$B16,IF($B16="RESOLUÇÃO 049/2022-CONSUNI/CPPGEC","CAPPG - Res 49",IF($B16="OUTROS","DIREÇÃO","")))))="PPGH/PPGDH")*ApoioL)),--ISNUMBER(ApoioD))=0,"Pendente",SUMPRODUCT((--(ApoioA&lt;&gt;"")*--(((ApoioA=(IFERROR(INDEX(ApoioA,MATCH($B16,ApoioB,0)),IF(COUNTIF(ApoioA,$B16)&gt;0,$B16,IF($B16="RESOLUÇÃO 049/2022-CONSUNI/CPPGEC","CAPPG - Res 49",IF($B16="OUTROS","DIREÇÃO",""))))))+((IFERROR(INDEX(ApoioA,MATCH($B16,ApoioB,0)),IF(COUNTIF(ApoioA,$B16)&gt;0,$B16,IF($B16="RESOLUÇÃO 049/2022-CONSUNI/CPPGEC","CAPPG - Res 49",IF($B16="OUTROS","DIREÇÃO","")))))="DIREÇÃO")*(LEFT(ApoioA,9)="DIREÇÃO -"))&gt;0))+(--(ApoioA="PPGEL +")*(((IFERROR(INDEX(ApoioA,MATCH($B16,ApoioB,0)),IF(COUNTIF(ApoioA,$B16)&gt;0,$B16,IF($B16="RESOLUÇÃO 049/2022-CONSUNI/CPPGEC","CAPPG - Res 49",IF($B16="OUTROS","DIREÇÃO","")))))="PPGE")*ApoioJ+((IFERROR(INDEX(ApoioA,MATCH($B16,ApoioB,0)),IF(COUNTIF(ApoioA,$B16)&gt;0,$B16,IF($B16="RESOLUÇÃO 049/2022-CONSUNI/CPPGEC","CAPPG - Res 49",IF($B16="OUTROS","DIREÇÃO","")))))="PPGEL")*ApoioK+((IFERROR(INDEX(ApoioA,MATCH($B16,ApoioB,0)),IF(COUNTIF(ApoioA,$B16)&gt;0,$B16,IF($B16="RESOLUÇÃO 049/2022-CONSUNI/CPPGEC","CAPPG - Res 49",IF($B16="OUTROS","DIREÇÃO","")))))="PPGH/PPGDH")*ApoioL)),ApoioD))</f>
        <v/>
      </c>
      <c r="F16" s="89">
        <f>IF(SUMPRODUCT((--(ApoioA&lt;&gt;"")*--(((ApoioA=(IFERROR(INDEX(ApoioA,MATCH($B16,ApoioB,0)),IF(COUNTIF(ApoioA,$B16)&gt;0,$B16,IF($B16="RESOLUÇÃO 049/2022-CONSUNI/CPPGEC","CAPPG - Res 49",IF($B16="OUTROS","DIREÇÃO",""))))))+((IFERROR(INDEX(ApoioA,MATCH($B16,ApoioB,0)),IF(COUNTIF(ApoioA,$B16)&gt;0,$B16,IF($B16="RESOLUÇÃO 049/2022-CONSUNI/CPPGEC","CAPPG - Res 49",IF($B16="OUTROS","DIREÇÃO","")))))="DIREÇÃO")*(LEFT(ApoioA,9)="DIREÇÃO -"))&gt;0))+(--(ApoioA="PPGEL +")*(((IFERROR(INDEX(ApoioA,MATCH($B16,ApoioB,0)),IF(COUNTIF(ApoioA,$B16)&gt;0,$B16,IF($B16="RESOLUÇÃO 049/2022-CONSUNI/CPPGEC","CAPPG - Res 49",IF($B16="OUTROS","DIREÇÃO","")))))="PPGE")*ApoioJ+((IFERROR(INDEX(ApoioA,MATCH($B16,ApoioB,0)),IF(COUNTIF(ApoioA,$B16)&gt;0,$B16,IF($B16="RESOLUÇÃO 049/2022-CONSUNI/CPPGEC","CAPPG - Res 49",IF($B16="OUTROS","DIREÇÃO","")))))="PPGEL")*ApoioK+((IFERROR(INDEX(ApoioA,MATCH($B16,ApoioB,0)),IF(COUNTIF(ApoioA,$B16)&gt;0,$B16,IF($B16="RESOLUÇÃO 049/2022-CONSUNI/CPPGEC","CAPPG - Res 49",IF($B16="OUTROS","DIREÇÃO","")))))="PPGH/PPGDH")*ApoioL)),COUNTIFS(ViagensM,ApoioA,ViagensC,"Cancelada",ViagensN,""))&gt;0,"Pendente",SUMPRODUCT((--(ApoioA&lt;&gt;"")*--(((ApoioA=(IFERROR(INDEX(ApoioA,MATCH($B16,ApoioB,0)),IF(COUNTIF(ApoioA,$B16)&gt;0,$B16,IF($B16="RESOLUÇÃO 049/2022-CONSUNI/CPPGEC","CAPPG - Res 49",IF($B16="OUTROS","DIREÇÃO",""))))))+((IFERROR(INDEX(ApoioA,MATCH($B16,ApoioB,0)),IF(COUNTIF(ApoioA,$B16)&gt;0,$B16,IF($B16="RESOLUÇÃO 049/2022-CONSUNI/CPPGEC","CAPPG - Res 49",IF($B16="OUTROS","DIREÇÃO","")))))="DIREÇÃO")*(LEFT(ApoioA,9)="DIREÇÃO -"))&gt;0))+(--(ApoioA="PPGEL +")*(((IFERROR(INDEX(ApoioA,MATCH($B16,ApoioB,0)),IF(COUNTIF(ApoioA,$B16)&gt;0,$B16,IF($B16="RESOLUÇÃO 049/2022-CONSUNI/CPPGEC","CAPPG - Res 49",IF($B16="OUTROS","DIREÇÃO","")))))="PPGE")*ApoioJ+((IFERROR(INDEX(ApoioA,MATCH($B16,ApoioB,0)),IF(COUNTIF(ApoioA,$B16)&gt;0,$B16,IF($B16="RESOLUÇÃO 049/2022-CONSUNI/CPPGEC","CAPPG - Res 49",IF($B16="OUTROS","DIREÇÃO","")))))="PPGEL")*ApoioK+((IFERROR(INDEX(ApoioA,MATCH($B16,ApoioB,0)),IF(COUNTIF(ApoioA,$B16)&gt;0,$B16,IF($B16="RESOLUÇÃO 049/2022-CONSUNI/CPPGEC","CAPPG - Res 49",IF($B16="OUTROS","DIREÇÃO","")))))="PPGH/PPGDH")*ApoioL)),(SUMIFS(ViagensK,ViagensM,ApoioA,ViagensC,"&lt;&gt;Cancelada")+SUMIFS(ViagensK,ViagensM,ApoioA,ViagensC,"Cancelada",ViagensN,"Sim"))))</f>
        <v/>
      </c>
      <c r="G16" s="89">
        <f>IF(AND(ISNUMBER(E16),ISNUMBER(F16)),E16-F16,"Pendente")</f>
        <v/>
      </c>
      <c r="H16" s="70" t="n"/>
      <c r="I16" s="88">
        <f>IF(SUMPRODUCT((--(ApoioA&lt;&gt;"")*--(((ApoioA=(IFERROR(INDEX(ApoioA,MATCH($B16,ApoioB,0)),IF(COUNTIF(ApoioA,$B16)&gt;0,$B16,IF($B16="RESOLUÇÃO 049/2022-CONSUNI/CPPGEC","CAPPG - Res 49",IF($B16="OUTROS","DIREÇÃO",""))))))+((IFERROR(INDEX(ApoioA,MATCH($B16,ApoioB,0)),IF(COUNTIF(ApoioA,$B16)&gt;0,$B16,IF($B16="RESOLUÇÃO 049/2022-CONSUNI/CPPGEC","CAPPG - Res 49",IF($B16="OUTROS","DIREÇÃO","")))))="DIREÇÃO")*(LEFT(ApoioA,9)="DIREÇÃO -"))&gt;0))+(--(ApoioA="PPGEL +")*(((IFERROR(INDEX(ApoioA,MATCH($B16,ApoioB,0)),IF(COUNTIF(ApoioA,$B16)&gt;0,$B16,IF($B16="RESOLUÇÃO 049/2022-CONSUNI/CPPGEC","CAPPG - Res 49",IF($B16="OUTROS","DIREÇÃO","")))))="PPGE")*ApoioJ+((IFERROR(INDEX(ApoioA,MATCH($B16,ApoioB,0)),IF(COUNTIF(ApoioA,$B16)&gt;0,$B16,IF($B16="RESOLUÇÃO 049/2022-CONSUNI/CPPGEC","CAPPG - Res 49",IF($B16="OUTROS","DIREÇÃO","")))))="PPGEL")*ApoioK+((IFERROR(INDEX(ApoioA,MATCH($B16,ApoioB,0)),IF(COUNTIF(ApoioA,$B16)&gt;0,$B16,IF($B16="RESOLUÇÃO 049/2022-CONSUNI/CPPGEC","CAPPG - Res 49",IF($B16="OUTROS","DIREÇÃO","")))))="PPGH/PPGDH")*ApoioL)),--ISNUMBER(ApoioE))=0,"Pendente",SUMPRODUCT((--(ApoioA&lt;&gt;"")*--(((ApoioA=(IFERROR(INDEX(ApoioA,MATCH($B16,ApoioB,0)),IF(COUNTIF(ApoioA,$B16)&gt;0,$B16,IF($B16="RESOLUÇÃO 049/2022-CONSUNI/CPPGEC","CAPPG - Res 49",IF($B16="OUTROS","DIREÇÃO",""))))))+((IFERROR(INDEX(ApoioA,MATCH($B16,ApoioB,0)),IF(COUNTIF(ApoioA,$B16)&gt;0,$B16,IF($B16="RESOLUÇÃO 049/2022-CONSUNI/CPPGEC","CAPPG - Res 49",IF($B16="OUTROS","DIREÇÃO","")))))="DIREÇÃO")*(LEFT(ApoioA,9)="DIREÇÃO -"))&gt;0))+(--(ApoioA="PPGEL +")*(((IFERROR(INDEX(ApoioA,MATCH($B16,ApoioB,0)),IF(COUNTIF(ApoioA,$B16)&gt;0,$B16,IF($B16="RESOLUÇÃO 049/2022-CONSUNI/CPPGEC","CAPPG - Res 49",IF($B16="OUTROS","DIREÇÃO","")))))="PPGE")*ApoioJ+((IFERROR(INDEX(ApoioA,MATCH($B16,ApoioB,0)),IF(COUNTIF(ApoioA,$B16)&gt;0,$B16,IF($B16="RESOLUÇÃO 049/2022-CONSUNI/CPPGEC","CAPPG - Res 49",IF($B16="OUTROS","DIREÇÃO","")))))="PPGEL")*ApoioK+((IFERROR(INDEX(ApoioA,MATCH($B16,ApoioB,0)),IF(COUNTIF(ApoioA,$B16)&gt;0,$B16,IF($B16="RESOLUÇÃO 049/2022-CONSUNI/CPPGEC","CAPPG - Res 49",IF($B16="OUTROS","DIREÇÃO","")))))="PPGH/PPGDH")*ApoioL)),ApoioE))</f>
        <v/>
      </c>
      <c r="J16" s="89">
        <f>IF(SUMPRODUCT((--(ApoioA&lt;&gt;"")*--(((ApoioA=(IFERROR(INDEX(ApoioA,MATCH($B16,ApoioB,0)),IF(COUNTIF(ApoioA,$B16)&gt;0,$B16,IF($B16="RESOLUÇÃO 049/2022-CONSUNI/CPPGEC","CAPPG - Res 49",IF($B16="OUTROS","DIREÇÃO",""))))))+((IFERROR(INDEX(ApoioA,MATCH($B16,ApoioB,0)),IF(COUNTIF(ApoioA,$B16)&gt;0,$B16,IF($B16="RESOLUÇÃO 049/2022-CONSUNI/CPPGEC","CAPPG - Res 49",IF($B16="OUTROS","DIREÇÃO","")))))="DIREÇÃO")*(LEFT(ApoioA,9)="DIREÇÃO -"))&gt;0))+(--(ApoioA="PPGEL +")*(((IFERROR(INDEX(ApoioA,MATCH($B16,ApoioB,0)),IF(COUNTIF(ApoioA,$B16)&gt;0,$B16,IF($B16="RESOLUÇÃO 049/2022-CONSUNI/CPPGEC","CAPPG - Res 49",IF($B16="OUTROS","DIREÇÃO","")))))="PPGE")*ApoioJ+((IFERROR(INDEX(ApoioA,MATCH($B16,ApoioB,0)),IF(COUNTIF(ApoioA,$B16)&gt;0,$B16,IF($B16="RESOLUÇÃO 049/2022-CONSUNI/CPPGEC","CAPPG - Res 49",IF($B16="OUTROS","DIREÇÃO","")))))="PPGEL")*ApoioK+((IFERROR(INDEX(ApoioA,MATCH($B16,ApoioB,0)),IF(COUNTIF(ApoioA,$B16)&gt;0,$B16,IF($B16="RESOLUÇÃO 049/2022-CONSUNI/CPPGEC","CAPPG - Res 49",IF($B16="OUTROS","DIREÇÃO","")))))="PPGH/PPGDH")*ApoioL)),--ISNUMBER(ApoioG))=0,"Pendente",SUMPRODUCT((--(ApoioA&lt;&gt;"")*--(((ApoioA=(IFERROR(INDEX(ApoioA,MATCH($B16,ApoioB,0)),IF(COUNTIF(ApoioA,$B16)&gt;0,$B16,IF($B16="RESOLUÇÃO 049/2022-CONSUNI/CPPGEC","CAPPG - Res 49",IF($B16="OUTROS","DIREÇÃO",""))))))+((IFERROR(INDEX(ApoioA,MATCH($B16,ApoioB,0)),IF(COUNTIF(ApoioA,$B16)&gt;0,$B16,IF($B16="RESOLUÇÃO 049/2022-CONSUNI/CPPGEC","CAPPG - Res 49",IF($B16="OUTROS","DIREÇÃO","")))))="DIREÇÃO")*(LEFT(ApoioA,9)="DIREÇÃO -"))&gt;0))+(--(ApoioA="PPGEL +")*(((IFERROR(INDEX(ApoioA,MATCH($B16,ApoioB,0)),IF(COUNTIF(ApoioA,$B16)&gt;0,$B16,IF($B16="RESOLUÇÃO 049/2022-CONSUNI/CPPGEC","CAPPG - Res 49",IF($B16="OUTROS","DIREÇÃO","")))))="PPGE")*ApoioJ+((IFERROR(INDEX(ApoioA,MATCH($B16,ApoioB,0)),IF(COUNTIF(ApoioA,$B16)&gt;0,$B16,IF($B16="RESOLUÇÃO 049/2022-CONSUNI/CPPGEC","CAPPG - Res 49",IF($B16="OUTROS","DIREÇÃO","")))))="PPGEL")*ApoioK+((IFERROR(INDEX(ApoioA,MATCH($B16,ApoioB,0)),IF(COUNTIF(ApoioA,$B16)&gt;0,$B16,IF($B16="RESOLUÇÃO 049/2022-CONSUNI/CPPGEC","CAPPG - Res 49",IF($B16="OUTROS","DIREÇÃO","")))))="PPGH/PPGDH")*ApoioL)),ApoioG))</f>
        <v/>
      </c>
      <c r="K16" s="89">
        <f>IF(AND(ISNUMBER(I16),ISNUMBER(J16)),I16-J16,"Pendente")</f>
        <v/>
      </c>
      <c r="L16" s="70" t="n"/>
      <c r="M16" s="89">
        <f>IF(AND(ISNUMBER(G16),ISNUMBER(K16)),G16+K16,"Pendente")</f>
        <v/>
      </c>
      <c r="O16" s="67" t="inlineStr">
        <is>
          <t>Grupo principal</t>
        </is>
      </c>
      <c r="P16" s="67">
        <f>B16</f>
        <v/>
      </c>
    </row>
    <row r="17" ht="15" customHeight="1" s="61">
      <c r="A17" s="69" t="n"/>
      <c r="B17" s="87" t="inlineStr">
        <is>
          <t>História</t>
        </is>
      </c>
      <c r="C17" s="88">
        <f>IF(AND(ISNUMBER(E17),ISNUMBER(I17)),E17+I17,"Pendente")</f>
        <v/>
      </c>
      <c r="D17" s="70" t="n"/>
      <c r="E17" s="88">
        <f>IF(SUMPRODUCT((--(ApoioA&lt;&gt;"")*--(((ApoioA=(IFERROR(INDEX(ApoioA,MATCH($B17,ApoioB,0)),IF(COUNTIF(ApoioA,$B17)&gt;0,$B17,IF($B17="RESOLUÇÃO 049/2022-CONSUNI/CPPGEC","CAPPG - Res 49",IF($B17="OUTROS","DIREÇÃO",""))))))+((IFERROR(INDEX(ApoioA,MATCH($B17,ApoioB,0)),IF(COUNTIF(ApoioA,$B17)&gt;0,$B17,IF($B17="RESOLUÇÃO 049/2022-CONSUNI/CPPGEC","CAPPG - Res 49",IF($B17="OUTROS","DIREÇÃO","")))))="DIREÇÃO")*(LEFT(ApoioA,9)="DIREÇÃO -"))&gt;0))+(--(ApoioA="PPGEL +")*(((IFERROR(INDEX(ApoioA,MATCH($B17,ApoioB,0)),IF(COUNTIF(ApoioA,$B17)&gt;0,$B17,IF($B17="RESOLUÇÃO 049/2022-CONSUNI/CPPGEC","CAPPG - Res 49",IF($B17="OUTROS","DIREÇÃO","")))))="PPGE")*ApoioJ+((IFERROR(INDEX(ApoioA,MATCH($B17,ApoioB,0)),IF(COUNTIF(ApoioA,$B17)&gt;0,$B17,IF($B17="RESOLUÇÃO 049/2022-CONSUNI/CPPGEC","CAPPG - Res 49",IF($B17="OUTROS","DIREÇÃO","")))))="PPGEL")*ApoioK+((IFERROR(INDEX(ApoioA,MATCH($B17,ApoioB,0)),IF(COUNTIF(ApoioA,$B17)&gt;0,$B17,IF($B17="RESOLUÇÃO 049/2022-CONSUNI/CPPGEC","CAPPG - Res 49",IF($B17="OUTROS","DIREÇÃO","")))))="PPGH/PPGDH")*ApoioL)),--ISNUMBER(ApoioD))=0,"Pendente",SUMPRODUCT((--(ApoioA&lt;&gt;"")*--(((ApoioA=(IFERROR(INDEX(ApoioA,MATCH($B17,ApoioB,0)),IF(COUNTIF(ApoioA,$B17)&gt;0,$B17,IF($B17="RESOLUÇÃO 049/2022-CONSUNI/CPPGEC","CAPPG - Res 49",IF($B17="OUTROS","DIREÇÃO",""))))))+((IFERROR(INDEX(ApoioA,MATCH($B17,ApoioB,0)),IF(COUNTIF(ApoioA,$B17)&gt;0,$B17,IF($B17="RESOLUÇÃO 049/2022-CONSUNI/CPPGEC","CAPPG - Res 49",IF($B17="OUTROS","DIREÇÃO","")))))="DIREÇÃO")*(LEFT(ApoioA,9)="DIREÇÃO -"))&gt;0))+(--(ApoioA="PPGEL +")*(((IFERROR(INDEX(ApoioA,MATCH($B17,ApoioB,0)),IF(COUNTIF(ApoioA,$B17)&gt;0,$B17,IF($B17="RESOLUÇÃO 049/2022-CONSUNI/CPPGEC","CAPPG - Res 49",IF($B17="OUTROS","DIREÇÃO","")))))="PPGE")*ApoioJ+((IFERROR(INDEX(ApoioA,MATCH($B17,ApoioB,0)),IF(COUNTIF(ApoioA,$B17)&gt;0,$B17,IF($B17="RESOLUÇÃO 049/2022-CONSUNI/CPPGEC","CAPPG - Res 49",IF($B17="OUTROS","DIREÇÃO","")))))="PPGEL")*ApoioK+((IFERROR(INDEX(ApoioA,MATCH($B17,ApoioB,0)),IF(COUNTIF(ApoioA,$B17)&gt;0,$B17,IF($B17="RESOLUÇÃO 049/2022-CONSUNI/CPPGEC","CAPPG - Res 49",IF($B17="OUTROS","DIREÇÃO","")))))="PPGH/PPGDH")*ApoioL)),ApoioD))</f>
        <v/>
      </c>
      <c r="F17" s="89">
        <f>IF(SUMPRODUCT((--(ApoioA&lt;&gt;"")*--(((ApoioA=(IFERROR(INDEX(ApoioA,MATCH($B17,ApoioB,0)),IF(COUNTIF(ApoioA,$B17)&gt;0,$B17,IF($B17="RESOLUÇÃO 049/2022-CONSUNI/CPPGEC","CAPPG - Res 49",IF($B17="OUTROS","DIREÇÃO",""))))))+((IFERROR(INDEX(ApoioA,MATCH($B17,ApoioB,0)),IF(COUNTIF(ApoioA,$B17)&gt;0,$B17,IF($B17="RESOLUÇÃO 049/2022-CONSUNI/CPPGEC","CAPPG - Res 49",IF($B17="OUTROS","DIREÇÃO","")))))="DIREÇÃO")*(LEFT(ApoioA,9)="DIREÇÃO -"))&gt;0))+(--(ApoioA="PPGEL +")*(((IFERROR(INDEX(ApoioA,MATCH($B17,ApoioB,0)),IF(COUNTIF(ApoioA,$B17)&gt;0,$B17,IF($B17="RESOLUÇÃO 049/2022-CONSUNI/CPPGEC","CAPPG - Res 49",IF($B17="OUTROS","DIREÇÃO","")))))="PPGE")*ApoioJ+((IFERROR(INDEX(ApoioA,MATCH($B17,ApoioB,0)),IF(COUNTIF(ApoioA,$B17)&gt;0,$B17,IF($B17="RESOLUÇÃO 049/2022-CONSUNI/CPPGEC","CAPPG - Res 49",IF($B17="OUTROS","DIREÇÃO","")))))="PPGEL")*ApoioK+((IFERROR(INDEX(ApoioA,MATCH($B17,ApoioB,0)),IF(COUNTIF(ApoioA,$B17)&gt;0,$B17,IF($B17="RESOLUÇÃO 049/2022-CONSUNI/CPPGEC","CAPPG - Res 49",IF($B17="OUTROS","DIREÇÃO","")))))="PPGH/PPGDH")*ApoioL)),COUNTIFS(ViagensM,ApoioA,ViagensC,"Cancelada",ViagensN,""))&gt;0,"Pendente",SUMPRODUCT((--(ApoioA&lt;&gt;"")*--(((ApoioA=(IFERROR(INDEX(ApoioA,MATCH($B17,ApoioB,0)),IF(COUNTIF(ApoioA,$B17)&gt;0,$B17,IF($B17="RESOLUÇÃO 049/2022-CONSUNI/CPPGEC","CAPPG - Res 49",IF($B17="OUTROS","DIREÇÃO",""))))))+((IFERROR(INDEX(ApoioA,MATCH($B17,ApoioB,0)),IF(COUNTIF(ApoioA,$B17)&gt;0,$B17,IF($B17="RESOLUÇÃO 049/2022-CONSUNI/CPPGEC","CAPPG - Res 49",IF($B17="OUTROS","DIREÇÃO","")))))="DIREÇÃO")*(LEFT(ApoioA,9)="DIREÇÃO -"))&gt;0))+(--(ApoioA="PPGEL +")*(((IFERROR(INDEX(ApoioA,MATCH($B17,ApoioB,0)),IF(COUNTIF(ApoioA,$B17)&gt;0,$B17,IF($B17="RESOLUÇÃO 049/2022-CONSUNI/CPPGEC","CAPPG - Res 49",IF($B17="OUTROS","DIREÇÃO","")))))="PPGE")*ApoioJ+((IFERROR(INDEX(ApoioA,MATCH($B17,ApoioB,0)),IF(COUNTIF(ApoioA,$B17)&gt;0,$B17,IF($B17="RESOLUÇÃO 049/2022-CONSUNI/CPPGEC","CAPPG - Res 49",IF($B17="OUTROS","DIREÇÃO","")))))="PPGEL")*ApoioK+((IFERROR(INDEX(ApoioA,MATCH($B17,ApoioB,0)),IF(COUNTIF(ApoioA,$B17)&gt;0,$B17,IF($B17="RESOLUÇÃO 049/2022-CONSUNI/CPPGEC","CAPPG - Res 49",IF($B17="OUTROS","DIREÇÃO","")))))="PPGH/PPGDH")*ApoioL)),(SUMIFS(ViagensK,ViagensM,ApoioA,ViagensC,"&lt;&gt;Cancelada")+SUMIFS(ViagensK,ViagensM,ApoioA,ViagensC,"Cancelada",ViagensN,"Sim"))))</f>
        <v/>
      </c>
      <c r="G17" s="89">
        <f>IF(AND(ISNUMBER(E17),ISNUMBER(F17)),E17-F17,"Pendente")</f>
        <v/>
      </c>
      <c r="H17" s="70" t="n"/>
      <c r="I17" s="88">
        <f>IF(SUMPRODUCT((--(ApoioA&lt;&gt;"")*--(((ApoioA=(IFERROR(INDEX(ApoioA,MATCH($B17,ApoioB,0)),IF(COUNTIF(ApoioA,$B17)&gt;0,$B17,IF($B17="RESOLUÇÃO 049/2022-CONSUNI/CPPGEC","CAPPG - Res 49",IF($B17="OUTROS","DIREÇÃO",""))))))+((IFERROR(INDEX(ApoioA,MATCH($B17,ApoioB,0)),IF(COUNTIF(ApoioA,$B17)&gt;0,$B17,IF($B17="RESOLUÇÃO 049/2022-CONSUNI/CPPGEC","CAPPG - Res 49",IF($B17="OUTROS","DIREÇÃO","")))))="DIREÇÃO")*(LEFT(ApoioA,9)="DIREÇÃO -"))&gt;0))+(--(ApoioA="PPGEL +")*(((IFERROR(INDEX(ApoioA,MATCH($B17,ApoioB,0)),IF(COUNTIF(ApoioA,$B17)&gt;0,$B17,IF($B17="RESOLUÇÃO 049/2022-CONSUNI/CPPGEC","CAPPG - Res 49",IF($B17="OUTROS","DIREÇÃO","")))))="PPGE")*ApoioJ+((IFERROR(INDEX(ApoioA,MATCH($B17,ApoioB,0)),IF(COUNTIF(ApoioA,$B17)&gt;0,$B17,IF($B17="RESOLUÇÃO 049/2022-CONSUNI/CPPGEC","CAPPG - Res 49",IF($B17="OUTROS","DIREÇÃO","")))))="PPGEL")*ApoioK+((IFERROR(INDEX(ApoioA,MATCH($B17,ApoioB,0)),IF(COUNTIF(ApoioA,$B17)&gt;0,$B17,IF($B17="RESOLUÇÃO 049/2022-CONSUNI/CPPGEC","CAPPG - Res 49",IF($B17="OUTROS","DIREÇÃO","")))))="PPGH/PPGDH")*ApoioL)),--ISNUMBER(ApoioE))=0,"Pendente",SUMPRODUCT((--(ApoioA&lt;&gt;"")*--(((ApoioA=(IFERROR(INDEX(ApoioA,MATCH($B17,ApoioB,0)),IF(COUNTIF(ApoioA,$B17)&gt;0,$B17,IF($B17="RESOLUÇÃO 049/2022-CONSUNI/CPPGEC","CAPPG - Res 49",IF($B17="OUTROS","DIREÇÃO",""))))))+((IFERROR(INDEX(ApoioA,MATCH($B17,ApoioB,0)),IF(COUNTIF(ApoioA,$B17)&gt;0,$B17,IF($B17="RESOLUÇÃO 049/2022-CONSUNI/CPPGEC","CAPPG - Res 49",IF($B17="OUTROS","DIREÇÃO","")))))="DIREÇÃO")*(LEFT(ApoioA,9)="DIREÇÃO -"))&gt;0))+(--(ApoioA="PPGEL +")*(((IFERROR(INDEX(ApoioA,MATCH($B17,ApoioB,0)),IF(COUNTIF(ApoioA,$B17)&gt;0,$B17,IF($B17="RESOLUÇÃO 049/2022-CONSUNI/CPPGEC","CAPPG - Res 49",IF($B17="OUTROS","DIREÇÃO","")))))="PPGE")*ApoioJ+((IFERROR(INDEX(ApoioA,MATCH($B17,ApoioB,0)),IF(COUNTIF(ApoioA,$B17)&gt;0,$B17,IF($B17="RESOLUÇÃO 049/2022-CONSUNI/CPPGEC","CAPPG - Res 49",IF($B17="OUTROS","DIREÇÃO","")))))="PPGEL")*ApoioK+((IFERROR(INDEX(ApoioA,MATCH($B17,ApoioB,0)),IF(COUNTIF(ApoioA,$B17)&gt;0,$B17,IF($B17="RESOLUÇÃO 049/2022-CONSUNI/CPPGEC","CAPPG - Res 49",IF($B17="OUTROS","DIREÇÃO","")))))="PPGH/PPGDH")*ApoioL)),ApoioE))</f>
        <v/>
      </c>
      <c r="J17" s="89">
        <f>IF(SUMPRODUCT((--(ApoioA&lt;&gt;"")*--(((ApoioA=(IFERROR(INDEX(ApoioA,MATCH($B17,ApoioB,0)),IF(COUNTIF(ApoioA,$B17)&gt;0,$B17,IF($B17="RESOLUÇÃO 049/2022-CONSUNI/CPPGEC","CAPPG - Res 49",IF($B17="OUTROS","DIREÇÃO",""))))))+((IFERROR(INDEX(ApoioA,MATCH($B17,ApoioB,0)),IF(COUNTIF(ApoioA,$B17)&gt;0,$B17,IF($B17="RESOLUÇÃO 049/2022-CONSUNI/CPPGEC","CAPPG - Res 49",IF($B17="OUTROS","DIREÇÃO","")))))="DIREÇÃO")*(LEFT(ApoioA,9)="DIREÇÃO -"))&gt;0))+(--(ApoioA="PPGEL +")*(((IFERROR(INDEX(ApoioA,MATCH($B17,ApoioB,0)),IF(COUNTIF(ApoioA,$B17)&gt;0,$B17,IF($B17="RESOLUÇÃO 049/2022-CONSUNI/CPPGEC","CAPPG - Res 49",IF($B17="OUTROS","DIREÇÃO","")))))="PPGE")*ApoioJ+((IFERROR(INDEX(ApoioA,MATCH($B17,ApoioB,0)),IF(COUNTIF(ApoioA,$B17)&gt;0,$B17,IF($B17="RESOLUÇÃO 049/2022-CONSUNI/CPPGEC","CAPPG - Res 49",IF($B17="OUTROS","DIREÇÃO","")))))="PPGEL")*ApoioK+((IFERROR(INDEX(ApoioA,MATCH($B17,ApoioB,0)),IF(COUNTIF(ApoioA,$B17)&gt;0,$B17,IF($B17="RESOLUÇÃO 049/2022-CONSUNI/CPPGEC","CAPPG - Res 49",IF($B17="OUTROS","DIREÇÃO","")))))="PPGH/PPGDH")*ApoioL)),--ISNUMBER(ApoioG))=0,"Pendente",SUMPRODUCT((--(ApoioA&lt;&gt;"")*--(((ApoioA=(IFERROR(INDEX(ApoioA,MATCH($B17,ApoioB,0)),IF(COUNTIF(ApoioA,$B17)&gt;0,$B17,IF($B17="RESOLUÇÃO 049/2022-CONSUNI/CPPGEC","CAPPG - Res 49",IF($B17="OUTROS","DIREÇÃO",""))))))+((IFERROR(INDEX(ApoioA,MATCH($B17,ApoioB,0)),IF(COUNTIF(ApoioA,$B17)&gt;0,$B17,IF($B17="RESOLUÇÃO 049/2022-CONSUNI/CPPGEC","CAPPG - Res 49",IF($B17="OUTROS","DIREÇÃO","")))))="DIREÇÃO")*(LEFT(ApoioA,9)="DIREÇÃO -"))&gt;0))+(--(ApoioA="PPGEL +")*(((IFERROR(INDEX(ApoioA,MATCH($B17,ApoioB,0)),IF(COUNTIF(ApoioA,$B17)&gt;0,$B17,IF($B17="RESOLUÇÃO 049/2022-CONSUNI/CPPGEC","CAPPG - Res 49",IF($B17="OUTROS","DIREÇÃO","")))))="PPGE")*ApoioJ+((IFERROR(INDEX(ApoioA,MATCH($B17,ApoioB,0)),IF(COUNTIF(ApoioA,$B17)&gt;0,$B17,IF($B17="RESOLUÇÃO 049/2022-CONSUNI/CPPGEC","CAPPG - Res 49",IF($B17="OUTROS","DIREÇÃO","")))))="PPGEL")*ApoioK+((IFERROR(INDEX(ApoioA,MATCH($B17,ApoioB,0)),IF(COUNTIF(ApoioA,$B17)&gt;0,$B17,IF($B17="RESOLUÇÃO 049/2022-CONSUNI/CPPGEC","CAPPG - Res 49",IF($B17="OUTROS","DIREÇÃO","")))))="PPGH/PPGDH")*ApoioL)),ApoioG))</f>
        <v/>
      </c>
      <c r="K17" s="89">
        <f>IF(AND(ISNUMBER(I17),ISNUMBER(J17)),I17-J17,"Pendente")</f>
        <v/>
      </c>
      <c r="L17" s="70" t="n"/>
      <c r="M17" s="89">
        <f>IF(AND(ISNUMBER(G17),ISNUMBER(K17)),G17+K17,"Pendente")</f>
        <v/>
      </c>
      <c r="O17" s="67" t="inlineStr">
        <is>
          <t>Grupo principal</t>
        </is>
      </c>
      <c r="P17" s="67">
        <f>B17</f>
        <v/>
      </c>
    </row>
    <row r="18" ht="15" customHeight="1" s="61">
      <c r="A18" s="69" t="n"/>
      <c r="B18" s="87" t="inlineStr">
        <is>
          <t>Letras – Português e Espanhol</t>
        </is>
      </c>
      <c r="C18" s="88">
        <f>IF(AND(ISNUMBER(E18),ISNUMBER(I18)),E18+I18,"Pendente")</f>
        <v/>
      </c>
      <c r="D18" s="70" t="n"/>
      <c r="E18" s="88">
        <f>IF(SUMPRODUCT((--(ApoioA&lt;&gt;"")*--(((ApoioA=(IFERROR(INDEX(ApoioA,MATCH($B18,ApoioB,0)),IF(COUNTIF(ApoioA,$B18)&gt;0,$B18,IF($B18="RESOLUÇÃO 049/2022-CONSUNI/CPPGEC","CAPPG - Res 49",IF($B18="OUTROS","DIREÇÃO",""))))))+((IFERROR(INDEX(ApoioA,MATCH($B18,ApoioB,0)),IF(COUNTIF(ApoioA,$B18)&gt;0,$B18,IF($B18="RESOLUÇÃO 049/2022-CONSUNI/CPPGEC","CAPPG - Res 49",IF($B18="OUTROS","DIREÇÃO","")))))="DIREÇÃO")*(LEFT(ApoioA,9)="DIREÇÃO -"))&gt;0))+(--(ApoioA="PPGEL +")*(((IFERROR(INDEX(ApoioA,MATCH($B18,ApoioB,0)),IF(COUNTIF(ApoioA,$B18)&gt;0,$B18,IF($B18="RESOLUÇÃO 049/2022-CONSUNI/CPPGEC","CAPPG - Res 49",IF($B18="OUTROS","DIREÇÃO","")))))="PPGE")*ApoioJ+((IFERROR(INDEX(ApoioA,MATCH($B18,ApoioB,0)),IF(COUNTIF(ApoioA,$B18)&gt;0,$B18,IF($B18="RESOLUÇÃO 049/2022-CONSUNI/CPPGEC","CAPPG - Res 49",IF($B18="OUTROS","DIREÇÃO","")))))="PPGEL")*ApoioK+((IFERROR(INDEX(ApoioA,MATCH($B18,ApoioB,0)),IF(COUNTIF(ApoioA,$B18)&gt;0,$B18,IF($B18="RESOLUÇÃO 049/2022-CONSUNI/CPPGEC","CAPPG - Res 49",IF($B18="OUTROS","DIREÇÃO","")))))="PPGH/PPGDH")*ApoioL)),--ISNUMBER(ApoioD))=0,"Pendente",SUMPRODUCT((--(ApoioA&lt;&gt;"")*--(((ApoioA=(IFERROR(INDEX(ApoioA,MATCH($B18,ApoioB,0)),IF(COUNTIF(ApoioA,$B18)&gt;0,$B18,IF($B18="RESOLUÇÃO 049/2022-CONSUNI/CPPGEC","CAPPG - Res 49",IF($B18="OUTROS","DIREÇÃO",""))))))+((IFERROR(INDEX(ApoioA,MATCH($B18,ApoioB,0)),IF(COUNTIF(ApoioA,$B18)&gt;0,$B18,IF($B18="RESOLUÇÃO 049/2022-CONSUNI/CPPGEC","CAPPG - Res 49",IF($B18="OUTROS","DIREÇÃO","")))))="DIREÇÃO")*(LEFT(ApoioA,9)="DIREÇÃO -"))&gt;0))+(--(ApoioA="PPGEL +")*(((IFERROR(INDEX(ApoioA,MATCH($B18,ApoioB,0)),IF(COUNTIF(ApoioA,$B18)&gt;0,$B18,IF($B18="RESOLUÇÃO 049/2022-CONSUNI/CPPGEC","CAPPG - Res 49",IF($B18="OUTROS","DIREÇÃO","")))))="PPGE")*ApoioJ+((IFERROR(INDEX(ApoioA,MATCH($B18,ApoioB,0)),IF(COUNTIF(ApoioA,$B18)&gt;0,$B18,IF($B18="RESOLUÇÃO 049/2022-CONSUNI/CPPGEC","CAPPG - Res 49",IF($B18="OUTROS","DIREÇÃO","")))))="PPGEL")*ApoioK+((IFERROR(INDEX(ApoioA,MATCH($B18,ApoioB,0)),IF(COUNTIF(ApoioA,$B18)&gt;0,$B18,IF($B18="RESOLUÇÃO 049/2022-CONSUNI/CPPGEC","CAPPG - Res 49",IF($B18="OUTROS","DIREÇÃO","")))))="PPGH/PPGDH")*ApoioL)),ApoioD))</f>
        <v/>
      </c>
      <c r="F18" s="89">
        <f>IF(SUMPRODUCT((--(ApoioA&lt;&gt;"")*--(((ApoioA=(IFERROR(INDEX(ApoioA,MATCH($B18,ApoioB,0)),IF(COUNTIF(ApoioA,$B18)&gt;0,$B18,IF($B18="RESOLUÇÃO 049/2022-CONSUNI/CPPGEC","CAPPG - Res 49",IF($B18="OUTROS","DIREÇÃO",""))))))+((IFERROR(INDEX(ApoioA,MATCH($B18,ApoioB,0)),IF(COUNTIF(ApoioA,$B18)&gt;0,$B18,IF($B18="RESOLUÇÃO 049/2022-CONSUNI/CPPGEC","CAPPG - Res 49",IF($B18="OUTROS","DIREÇÃO","")))))="DIREÇÃO")*(LEFT(ApoioA,9)="DIREÇÃO -"))&gt;0))+(--(ApoioA="PPGEL +")*(((IFERROR(INDEX(ApoioA,MATCH($B18,ApoioB,0)),IF(COUNTIF(ApoioA,$B18)&gt;0,$B18,IF($B18="RESOLUÇÃO 049/2022-CONSUNI/CPPGEC","CAPPG - Res 49",IF($B18="OUTROS","DIREÇÃO","")))))="PPGE")*ApoioJ+((IFERROR(INDEX(ApoioA,MATCH($B18,ApoioB,0)),IF(COUNTIF(ApoioA,$B18)&gt;0,$B18,IF($B18="RESOLUÇÃO 049/2022-CONSUNI/CPPGEC","CAPPG - Res 49",IF($B18="OUTROS","DIREÇÃO","")))))="PPGEL")*ApoioK+((IFERROR(INDEX(ApoioA,MATCH($B18,ApoioB,0)),IF(COUNTIF(ApoioA,$B18)&gt;0,$B18,IF($B18="RESOLUÇÃO 049/2022-CONSUNI/CPPGEC","CAPPG - Res 49",IF($B18="OUTROS","DIREÇÃO","")))))="PPGH/PPGDH")*ApoioL)),COUNTIFS(ViagensM,ApoioA,ViagensC,"Cancelada",ViagensN,""))&gt;0,"Pendente",SUMPRODUCT((--(ApoioA&lt;&gt;"")*--(((ApoioA=(IFERROR(INDEX(ApoioA,MATCH($B18,ApoioB,0)),IF(COUNTIF(ApoioA,$B18)&gt;0,$B18,IF($B18="RESOLUÇÃO 049/2022-CONSUNI/CPPGEC","CAPPG - Res 49",IF($B18="OUTROS","DIREÇÃO",""))))))+((IFERROR(INDEX(ApoioA,MATCH($B18,ApoioB,0)),IF(COUNTIF(ApoioA,$B18)&gt;0,$B18,IF($B18="RESOLUÇÃO 049/2022-CONSUNI/CPPGEC","CAPPG - Res 49",IF($B18="OUTROS","DIREÇÃO","")))))="DIREÇÃO")*(LEFT(ApoioA,9)="DIREÇÃO -"))&gt;0))+(--(ApoioA="PPGEL +")*(((IFERROR(INDEX(ApoioA,MATCH($B18,ApoioB,0)),IF(COUNTIF(ApoioA,$B18)&gt;0,$B18,IF($B18="RESOLUÇÃO 049/2022-CONSUNI/CPPGEC","CAPPG - Res 49",IF($B18="OUTROS","DIREÇÃO","")))))="PPGE")*ApoioJ+((IFERROR(INDEX(ApoioA,MATCH($B18,ApoioB,0)),IF(COUNTIF(ApoioA,$B18)&gt;0,$B18,IF($B18="RESOLUÇÃO 049/2022-CONSUNI/CPPGEC","CAPPG - Res 49",IF($B18="OUTROS","DIREÇÃO","")))))="PPGEL")*ApoioK+((IFERROR(INDEX(ApoioA,MATCH($B18,ApoioB,0)),IF(COUNTIF(ApoioA,$B18)&gt;0,$B18,IF($B18="RESOLUÇÃO 049/2022-CONSUNI/CPPGEC","CAPPG - Res 49",IF($B18="OUTROS","DIREÇÃO","")))))="PPGH/PPGDH")*ApoioL)),(SUMIFS(ViagensK,ViagensM,ApoioA,ViagensC,"&lt;&gt;Cancelada")+SUMIFS(ViagensK,ViagensM,ApoioA,ViagensC,"Cancelada",ViagensN,"Sim"))))</f>
        <v/>
      </c>
      <c r="G18" s="89">
        <f>IF(AND(ISNUMBER(E18),ISNUMBER(F18)),E18-F18,"Pendente")</f>
        <v/>
      </c>
      <c r="H18" s="70" t="n"/>
      <c r="I18" s="88">
        <f>IF(SUMPRODUCT((--(ApoioA&lt;&gt;"")*--(((ApoioA=(IFERROR(INDEX(ApoioA,MATCH($B18,ApoioB,0)),IF(COUNTIF(ApoioA,$B18)&gt;0,$B18,IF($B18="RESOLUÇÃO 049/2022-CONSUNI/CPPGEC","CAPPG - Res 49",IF($B18="OUTROS","DIREÇÃO",""))))))+((IFERROR(INDEX(ApoioA,MATCH($B18,ApoioB,0)),IF(COUNTIF(ApoioA,$B18)&gt;0,$B18,IF($B18="RESOLUÇÃO 049/2022-CONSUNI/CPPGEC","CAPPG - Res 49",IF($B18="OUTROS","DIREÇÃO","")))))="DIREÇÃO")*(LEFT(ApoioA,9)="DIREÇÃO -"))&gt;0))+(--(ApoioA="PPGEL +")*(((IFERROR(INDEX(ApoioA,MATCH($B18,ApoioB,0)),IF(COUNTIF(ApoioA,$B18)&gt;0,$B18,IF($B18="RESOLUÇÃO 049/2022-CONSUNI/CPPGEC","CAPPG - Res 49",IF($B18="OUTROS","DIREÇÃO","")))))="PPGE")*ApoioJ+((IFERROR(INDEX(ApoioA,MATCH($B18,ApoioB,0)),IF(COUNTIF(ApoioA,$B18)&gt;0,$B18,IF($B18="RESOLUÇÃO 049/2022-CONSUNI/CPPGEC","CAPPG - Res 49",IF($B18="OUTROS","DIREÇÃO","")))))="PPGEL")*ApoioK+((IFERROR(INDEX(ApoioA,MATCH($B18,ApoioB,0)),IF(COUNTIF(ApoioA,$B18)&gt;0,$B18,IF($B18="RESOLUÇÃO 049/2022-CONSUNI/CPPGEC","CAPPG - Res 49",IF($B18="OUTROS","DIREÇÃO","")))))="PPGH/PPGDH")*ApoioL)),--ISNUMBER(ApoioE))=0,"Pendente",SUMPRODUCT((--(ApoioA&lt;&gt;"")*--(((ApoioA=(IFERROR(INDEX(ApoioA,MATCH($B18,ApoioB,0)),IF(COUNTIF(ApoioA,$B18)&gt;0,$B18,IF($B18="RESOLUÇÃO 049/2022-CONSUNI/CPPGEC","CAPPG - Res 49",IF($B18="OUTROS","DIREÇÃO",""))))))+((IFERROR(INDEX(ApoioA,MATCH($B18,ApoioB,0)),IF(COUNTIF(ApoioA,$B18)&gt;0,$B18,IF($B18="RESOLUÇÃO 049/2022-CONSUNI/CPPGEC","CAPPG - Res 49",IF($B18="OUTROS","DIREÇÃO","")))))="DIREÇÃO")*(LEFT(ApoioA,9)="DIREÇÃO -"))&gt;0))+(--(ApoioA="PPGEL +")*(((IFERROR(INDEX(ApoioA,MATCH($B18,ApoioB,0)),IF(COUNTIF(ApoioA,$B18)&gt;0,$B18,IF($B18="RESOLUÇÃO 049/2022-CONSUNI/CPPGEC","CAPPG - Res 49",IF($B18="OUTROS","DIREÇÃO","")))))="PPGE")*ApoioJ+((IFERROR(INDEX(ApoioA,MATCH($B18,ApoioB,0)),IF(COUNTIF(ApoioA,$B18)&gt;0,$B18,IF($B18="RESOLUÇÃO 049/2022-CONSUNI/CPPGEC","CAPPG - Res 49",IF($B18="OUTROS","DIREÇÃO","")))))="PPGEL")*ApoioK+((IFERROR(INDEX(ApoioA,MATCH($B18,ApoioB,0)),IF(COUNTIF(ApoioA,$B18)&gt;0,$B18,IF($B18="RESOLUÇÃO 049/2022-CONSUNI/CPPGEC","CAPPG - Res 49",IF($B18="OUTROS","DIREÇÃO","")))))="PPGH/PPGDH")*ApoioL)),ApoioE))</f>
        <v/>
      </c>
      <c r="J18" s="89">
        <f>IF(SUMPRODUCT((--(ApoioA&lt;&gt;"")*--(((ApoioA=(IFERROR(INDEX(ApoioA,MATCH($B18,ApoioB,0)),IF(COUNTIF(ApoioA,$B18)&gt;0,$B18,IF($B18="RESOLUÇÃO 049/2022-CONSUNI/CPPGEC","CAPPG - Res 49",IF($B18="OUTROS","DIREÇÃO",""))))))+((IFERROR(INDEX(ApoioA,MATCH($B18,ApoioB,0)),IF(COUNTIF(ApoioA,$B18)&gt;0,$B18,IF($B18="RESOLUÇÃO 049/2022-CONSUNI/CPPGEC","CAPPG - Res 49",IF($B18="OUTROS","DIREÇÃO","")))))="DIREÇÃO")*(LEFT(ApoioA,9)="DIREÇÃO -"))&gt;0))+(--(ApoioA="PPGEL +")*(((IFERROR(INDEX(ApoioA,MATCH($B18,ApoioB,0)),IF(COUNTIF(ApoioA,$B18)&gt;0,$B18,IF($B18="RESOLUÇÃO 049/2022-CONSUNI/CPPGEC","CAPPG - Res 49",IF($B18="OUTROS","DIREÇÃO","")))))="PPGE")*ApoioJ+((IFERROR(INDEX(ApoioA,MATCH($B18,ApoioB,0)),IF(COUNTIF(ApoioA,$B18)&gt;0,$B18,IF($B18="RESOLUÇÃO 049/2022-CONSUNI/CPPGEC","CAPPG - Res 49",IF($B18="OUTROS","DIREÇÃO","")))))="PPGEL")*ApoioK+((IFERROR(INDEX(ApoioA,MATCH($B18,ApoioB,0)),IF(COUNTIF(ApoioA,$B18)&gt;0,$B18,IF($B18="RESOLUÇÃO 049/2022-CONSUNI/CPPGEC","CAPPG - Res 49",IF($B18="OUTROS","DIREÇÃO","")))))="PPGH/PPGDH")*ApoioL)),--ISNUMBER(ApoioG))=0,"Pendente",SUMPRODUCT((--(ApoioA&lt;&gt;"")*--(((ApoioA=(IFERROR(INDEX(ApoioA,MATCH($B18,ApoioB,0)),IF(COUNTIF(ApoioA,$B18)&gt;0,$B18,IF($B18="RESOLUÇÃO 049/2022-CONSUNI/CPPGEC","CAPPG - Res 49",IF($B18="OUTROS","DIREÇÃO",""))))))+((IFERROR(INDEX(ApoioA,MATCH($B18,ApoioB,0)),IF(COUNTIF(ApoioA,$B18)&gt;0,$B18,IF($B18="RESOLUÇÃO 049/2022-CONSUNI/CPPGEC","CAPPG - Res 49",IF($B18="OUTROS","DIREÇÃO","")))))="DIREÇÃO")*(LEFT(ApoioA,9)="DIREÇÃO -"))&gt;0))+(--(ApoioA="PPGEL +")*(((IFERROR(INDEX(ApoioA,MATCH($B18,ApoioB,0)),IF(COUNTIF(ApoioA,$B18)&gt;0,$B18,IF($B18="RESOLUÇÃO 049/2022-CONSUNI/CPPGEC","CAPPG - Res 49",IF($B18="OUTROS","DIREÇÃO","")))))="PPGE")*ApoioJ+((IFERROR(INDEX(ApoioA,MATCH($B18,ApoioB,0)),IF(COUNTIF(ApoioA,$B18)&gt;0,$B18,IF($B18="RESOLUÇÃO 049/2022-CONSUNI/CPPGEC","CAPPG - Res 49",IF($B18="OUTROS","DIREÇÃO","")))))="PPGEL")*ApoioK+((IFERROR(INDEX(ApoioA,MATCH($B18,ApoioB,0)),IF(COUNTIF(ApoioA,$B18)&gt;0,$B18,IF($B18="RESOLUÇÃO 049/2022-CONSUNI/CPPGEC","CAPPG - Res 49",IF($B18="OUTROS","DIREÇÃO","")))))="PPGH/PPGDH")*ApoioL)),ApoioG))</f>
        <v/>
      </c>
      <c r="K18" s="89">
        <f>IF(AND(ISNUMBER(I18),ISNUMBER(J18)),I18-J18,"Pendente")</f>
        <v/>
      </c>
      <c r="L18" s="70" t="n"/>
      <c r="M18" s="89">
        <f>IF(AND(ISNUMBER(G18),ISNUMBER(K18)),G18+K18,"Pendente")</f>
        <v/>
      </c>
      <c r="O18" s="67" t="inlineStr">
        <is>
          <t>Grupo principal</t>
        </is>
      </c>
      <c r="P18" s="67">
        <f>B18</f>
        <v/>
      </c>
    </row>
    <row r="19" ht="15" customHeight="1" s="61">
      <c r="A19" s="69" t="n"/>
      <c r="B19" s="87" t="inlineStr">
        <is>
          <t>Matemática</t>
        </is>
      </c>
      <c r="C19" s="88">
        <f>IF(AND(ISNUMBER(E19),ISNUMBER(I19)),E19+I19,"Pendente")</f>
        <v/>
      </c>
      <c r="D19" s="70" t="n"/>
      <c r="E19" s="88">
        <f>IF(SUMPRODUCT((--(ApoioA&lt;&gt;"")*--(((ApoioA=(IFERROR(INDEX(ApoioA,MATCH($B19,ApoioB,0)),IF(COUNTIF(ApoioA,$B19)&gt;0,$B19,IF($B19="RESOLUÇÃO 049/2022-CONSUNI/CPPGEC","CAPPG - Res 49",IF($B19="OUTROS","DIREÇÃO",""))))))+((IFERROR(INDEX(ApoioA,MATCH($B19,ApoioB,0)),IF(COUNTIF(ApoioA,$B19)&gt;0,$B19,IF($B19="RESOLUÇÃO 049/2022-CONSUNI/CPPGEC","CAPPG - Res 49",IF($B19="OUTROS","DIREÇÃO","")))))="DIREÇÃO")*(LEFT(ApoioA,9)="DIREÇÃO -"))&gt;0))+(--(ApoioA="PPGEL +")*(((IFERROR(INDEX(ApoioA,MATCH($B19,ApoioB,0)),IF(COUNTIF(ApoioA,$B19)&gt;0,$B19,IF($B19="RESOLUÇÃO 049/2022-CONSUNI/CPPGEC","CAPPG - Res 49",IF($B19="OUTROS","DIREÇÃO","")))))="PPGE")*ApoioJ+((IFERROR(INDEX(ApoioA,MATCH($B19,ApoioB,0)),IF(COUNTIF(ApoioA,$B19)&gt;0,$B19,IF($B19="RESOLUÇÃO 049/2022-CONSUNI/CPPGEC","CAPPG - Res 49",IF($B19="OUTROS","DIREÇÃO","")))))="PPGEL")*ApoioK+((IFERROR(INDEX(ApoioA,MATCH($B19,ApoioB,0)),IF(COUNTIF(ApoioA,$B19)&gt;0,$B19,IF($B19="RESOLUÇÃO 049/2022-CONSUNI/CPPGEC","CAPPG - Res 49",IF($B19="OUTROS","DIREÇÃO","")))))="PPGH/PPGDH")*ApoioL)),--ISNUMBER(ApoioD))=0,"Pendente",SUMPRODUCT((--(ApoioA&lt;&gt;"")*--(((ApoioA=(IFERROR(INDEX(ApoioA,MATCH($B19,ApoioB,0)),IF(COUNTIF(ApoioA,$B19)&gt;0,$B19,IF($B19="RESOLUÇÃO 049/2022-CONSUNI/CPPGEC","CAPPG - Res 49",IF($B19="OUTROS","DIREÇÃO",""))))))+((IFERROR(INDEX(ApoioA,MATCH($B19,ApoioB,0)),IF(COUNTIF(ApoioA,$B19)&gt;0,$B19,IF($B19="RESOLUÇÃO 049/2022-CONSUNI/CPPGEC","CAPPG - Res 49",IF($B19="OUTROS","DIREÇÃO","")))))="DIREÇÃO")*(LEFT(ApoioA,9)="DIREÇÃO -"))&gt;0))+(--(ApoioA="PPGEL +")*(((IFERROR(INDEX(ApoioA,MATCH($B19,ApoioB,0)),IF(COUNTIF(ApoioA,$B19)&gt;0,$B19,IF($B19="RESOLUÇÃO 049/2022-CONSUNI/CPPGEC","CAPPG - Res 49",IF($B19="OUTROS","DIREÇÃO","")))))="PPGE")*ApoioJ+((IFERROR(INDEX(ApoioA,MATCH($B19,ApoioB,0)),IF(COUNTIF(ApoioA,$B19)&gt;0,$B19,IF($B19="RESOLUÇÃO 049/2022-CONSUNI/CPPGEC","CAPPG - Res 49",IF($B19="OUTROS","DIREÇÃO","")))))="PPGEL")*ApoioK+((IFERROR(INDEX(ApoioA,MATCH($B19,ApoioB,0)),IF(COUNTIF(ApoioA,$B19)&gt;0,$B19,IF($B19="RESOLUÇÃO 049/2022-CONSUNI/CPPGEC","CAPPG - Res 49",IF($B19="OUTROS","DIREÇÃO","")))))="PPGH/PPGDH")*ApoioL)),ApoioD))</f>
        <v/>
      </c>
      <c r="F19" s="89">
        <f>IF(SUMPRODUCT((--(ApoioA&lt;&gt;"")*--(((ApoioA=(IFERROR(INDEX(ApoioA,MATCH($B19,ApoioB,0)),IF(COUNTIF(ApoioA,$B19)&gt;0,$B19,IF($B19="RESOLUÇÃO 049/2022-CONSUNI/CPPGEC","CAPPG - Res 49",IF($B19="OUTROS","DIREÇÃO",""))))))+((IFERROR(INDEX(ApoioA,MATCH($B19,ApoioB,0)),IF(COUNTIF(ApoioA,$B19)&gt;0,$B19,IF($B19="RESOLUÇÃO 049/2022-CONSUNI/CPPGEC","CAPPG - Res 49",IF($B19="OUTROS","DIREÇÃO","")))))="DIREÇÃO")*(LEFT(ApoioA,9)="DIREÇÃO -"))&gt;0))+(--(ApoioA="PPGEL +")*(((IFERROR(INDEX(ApoioA,MATCH($B19,ApoioB,0)),IF(COUNTIF(ApoioA,$B19)&gt;0,$B19,IF($B19="RESOLUÇÃO 049/2022-CONSUNI/CPPGEC","CAPPG - Res 49",IF($B19="OUTROS","DIREÇÃO","")))))="PPGE")*ApoioJ+((IFERROR(INDEX(ApoioA,MATCH($B19,ApoioB,0)),IF(COUNTIF(ApoioA,$B19)&gt;0,$B19,IF($B19="RESOLUÇÃO 049/2022-CONSUNI/CPPGEC","CAPPG - Res 49",IF($B19="OUTROS","DIREÇÃO","")))))="PPGEL")*ApoioK+((IFERROR(INDEX(ApoioA,MATCH($B19,ApoioB,0)),IF(COUNTIF(ApoioA,$B19)&gt;0,$B19,IF($B19="RESOLUÇÃO 049/2022-CONSUNI/CPPGEC","CAPPG - Res 49",IF($B19="OUTROS","DIREÇÃO","")))))="PPGH/PPGDH")*ApoioL)),COUNTIFS(ViagensM,ApoioA,ViagensC,"Cancelada",ViagensN,""))&gt;0,"Pendente",SUMPRODUCT((--(ApoioA&lt;&gt;"")*--(((ApoioA=(IFERROR(INDEX(ApoioA,MATCH($B19,ApoioB,0)),IF(COUNTIF(ApoioA,$B19)&gt;0,$B19,IF($B19="RESOLUÇÃO 049/2022-CONSUNI/CPPGEC","CAPPG - Res 49",IF($B19="OUTROS","DIREÇÃO",""))))))+((IFERROR(INDEX(ApoioA,MATCH($B19,ApoioB,0)),IF(COUNTIF(ApoioA,$B19)&gt;0,$B19,IF($B19="RESOLUÇÃO 049/2022-CONSUNI/CPPGEC","CAPPG - Res 49",IF($B19="OUTROS","DIREÇÃO","")))))="DIREÇÃO")*(LEFT(ApoioA,9)="DIREÇÃO -"))&gt;0))+(--(ApoioA="PPGEL +")*(((IFERROR(INDEX(ApoioA,MATCH($B19,ApoioB,0)),IF(COUNTIF(ApoioA,$B19)&gt;0,$B19,IF($B19="RESOLUÇÃO 049/2022-CONSUNI/CPPGEC","CAPPG - Res 49",IF($B19="OUTROS","DIREÇÃO","")))))="PPGE")*ApoioJ+((IFERROR(INDEX(ApoioA,MATCH($B19,ApoioB,0)),IF(COUNTIF(ApoioA,$B19)&gt;0,$B19,IF($B19="RESOLUÇÃO 049/2022-CONSUNI/CPPGEC","CAPPG - Res 49",IF($B19="OUTROS","DIREÇÃO","")))))="PPGEL")*ApoioK+((IFERROR(INDEX(ApoioA,MATCH($B19,ApoioB,0)),IF(COUNTIF(ApoioA,$B19)&gt;0,$B19,IF($B19="RESOLUÇÃO 049/2022-CONSUNI/CPPGEC","CAPPG - Res 49",IF($B19="OUTROS","DIREÇÃO","")))))="PPGH/PPGDH")*ApoioL)),(SUMIFS(ViagensK,ViagensM,ApoioA,ViagensC,"&lt;&gt;Cancelada")+SUMIFS(ViagensK,ViagensM,ApoioA,ViagensC,"Cancelada",ViagensN,"Sim"))))</f>
        <v/>
      </c>
      <c r="G19" s="89">
        <f>IF(AND(ISNUMBER(E19),ISNUMBER(F19)),E19-F19,"Pendente")</f>
        <v/>
      </c>
      <c r="H19" s="70" t="n"/>
      <c r="I19" s="88">
        <f>IF(SUMPRODUCT((--(ApoioA&lt;&gt;"")*--(((ApoioA=(IFERROR(INDEX(ApoioA,MATCH($B19,ApoioB,0)),IF(COUNTIF(ApoioA,$B19)&gt;0,$B19,IF($B19="RESOLUÇÃO 049/2022-CONSUNI/CPPGEC","CAPPG - Res 49",IF($B19="OUTROS","DIREÇÃO",""))))))+((IFERROR(INDEX(ApoioA,MATCH($B19,ApoioB,0)),IF(COUNTIF(ApoioA,$B19)&gt;0,$B19,IF($B19="RESOLUÇÃO 049/2022-CONSUNI/CPPGEC","CAPPG - Res 49",IF($B19="OUTROS","DIREÇÃO","")))))="DIREÇÃO")*(LEFT(ApoioA,9)="DIREÇÃO -"))&gt;0))+(--(ApoioA="PPGEL +")*(((IFERROR(INDEX(ApoioA,MATCH($B19,ApoioB,0)),IF(COUNTIF(ApoioA,$B19)&gt;0,$B19,IF($B19="RESOLUÇÃO 049/2022-CONSUNI/CPPGEC","CAPPG - Res 49",IF($B19="OUTROS","DIREÇÃO","")))))="PPGE")*ApoioJ+((IFERROR(INDEX(ApoioA,MATCH($B19,ApoioB,0)),IF(COUNTIF(ApoioA,$B19)&gt;0,$B19,IF($B19="RESOLUÇÃO 049/2022-CONSUNI/CPPGEC","CAPPG - Res 49",IF($B19="OUTROS","DIREÇÃO","")))))="PPGEL")*ApoioK+((IFERROR(INDEX(ApoioA,MATCH($B19,ApoioB,0)),IF(COUNTIF(ApoioA,$B19)&gt;0,$B19,IF($B19="RESOLUÇÃO 049/2022-CONSUNI/CPPGEC","CAPPG - Res 49",IF($B19="OUTROS","DIREÇÃO","")))))="PPGH/PPGDH")*ApoioL)),--ISNUMBER(ApoioE))=0,"Pendente",SUMPRODUCT((--(ApoioA&lt;&gt;"")*--(((ApoioA=(IFERROR(INDEX(ApoioA,MATCH($B19,ApoioB,0)),IF(COUNTIF(ApoioA,$B19)&gt;0,$B19,IF($B19="RESOLUÇÃO 049/2022-CONSUNI/CPPGEC","CAPPG - Res 49",IF($B19="OUTROS","DIREÇÃO",""))))))+((IFERROR(INDEX(ApoioA,MATCH($B19,ApoioB,0)),IF(COUNTIF(ApoioA,$B19)&gt;0,$B19,IF($B19="RESOLUÇÃO 049/2022-CONSUNI/CPPGEC","CAPPG - Res 49",IF($B19="OUTROS","DIREÇÃO","")))))="DIREÇÃO")*(LEFT(ApoioA,9)="DIREÇÃO -"))&gt;0))+(--(ApoioA="PPGEL +")*(((IFERROR(INDEX(ApoioA,MATCH($B19,ApoioB,0)),IF(COUNTIF(ApoioA,$B19)&gt;0,$B19,IF($B19="RESOLUÇÃO 049/2022-CONSUNI/CPPGEC","CAPPG - Res 49",IF($B19="OUTROS","DIREÇÃO","")))))="PPGE")*ApoioJ+((IFERROR(INDEX(ApoioA,MATCH($B19,ApoioB,0)),IF(COUNTIF(ApoioA,$B19)&gt;0,$B19,IF($B19="RESOLUÇÃO 049/2022-CONSUNI/CPPGEC","CAPPG - Res 49",IF($B19="OUTROS","DIREÇÃO","")))))="PPGEL")*ApoioK+((IFERROR(INDEX(ApoioA,MATCH($B19,ApoioB,0)),IF(COUNTIF(ApoioA,$B19)&gt;0,$B19,IF($B19="RESOLUÇÃO 049/2022-CONSUNI/CPPGEC","CAPPG - Res 49",IF($B19="OUTROS","DIREÇÃO","")))))="PPGH/PPGDH")*ApoioL)),ApoioE))</f>
        <v/>
      </c>
      <c r="J19" s="89">
        <f>IF(SUMPRODUCT((--(ApoioA&lt;&gt;"")*--(((ApoioA=(IFERROR(INDEX(ApoioA,MATCH($B19,ApoioB,0)),IF(COUNTIF(ApoioA,$B19)&gt;0,$B19,IF($B19="RESOLUÇÃO 049/2022-CONSUNI/CPPGEC","CAPPG - Res 49",IF($B19="OUTROS","DIREÇÃO",""))))))+((IFERROR(INDEX(ApoioA,MATCH($B19,ApoioB,0)),IF(COUNTIF(ApoioA,$B19)&gt;0,$B19,IF($B19="RESOLUÇÃO 049/2022-CONSUNI/CPPGEC","CAPPG - Res 49",IF($B19="OUTROS","DIREÇÃO","")))))="DIREÇÃO")*(LEFT(ApoioA,9)="DIREÇÃO -"))&gt;0))+(--(ApoioA="PPGEL +")*(((IFERROR(INDEX(ApoioA,MATCH($B19,ApoioB,0)),IF(COUNTIF(ApoioA,$B19)&gt;0,$B19,IF($B19="RESOLUÇÃO 049/2022-CONSUNI/CPPGEC","CAPPG - Res 49",IF($B19="OUTROS","DIREÇÃO","")))))="PPGE")*ApoioJ+((IFERROR(INDEX(ApoioA,MATCH($B19,ApoioB,0)),IF(COUNTIF(ApoioA,$B19)&gt;0,$B19,IF($B19="RESOLUÇÃO 049/2022-CONSUNI/CPPGEC","CAPPG - Res 49",IF($B19="OUTROS","DIREÇÃO","")))))="PPGEL")*ApoioK+((IFERROR(INDEX(ApoioA,MATCH($B19,ApoioB,0)),IF(COUNTIF(ApoioA,$B19)&gt;0,$B19,IF($B19="RESOLUÇÃO 049/2022-CONSUNI/CPPGEC","CAPPG - Res 49",IF($B19="OUTROS","DIREÇÃO","")))))="PPGH/PPGDH")*ApoioL)),--ISNUMBER(ApoioG))=0,"Pendente",SUMPRODUCT((--(ApoioA&lt;&gt;"")*--(((ApoioA=(IFERROR(INDEX(ApoioA,MATCH($B19,ApoioB,0)),IF(COUNTIF(ApoioA,$B19)&gt;0,$B19,IF($B19="RESOLUÇÃO 049/2022-CONSUNI/CPPGEC","CAPPG - Res 49",IF($B19="OUTROS","DIREÇÃO",""))))))+((IFERROR(INDEX(ApoioA,MATCH($B19,ApoioB,0)),IF(COUNTIF(ApoioA,$B19)&gt;0,$B19,IF($B19="RESOLUÇÃO 049/2022-CONSUNI/CPPGEC","CAPPG - Res 49",IF($B19="OUTROS","DIREÇÃO","")))))="DIREÇÃO")*(LEFT(ApoioA,9)="DIREÇÃO -"))&gt;0))+(--(ApoioA="PPGEL +")*(((IFERROR(INDEX(ApoioA,MATCH($B19,ApoioB,0)),IF(COUNTIF(ApoioA,$B19)&gt;0,$B19,IF($B19="RESOLUÇÃO 049/2022-CONSUNI/CPPGEC","CAPPG - Res 49",IF($B19="OUTROS","DIREÇÃO","")))))="PPGE")*ApoioJ+((IFERROR(INDEX(ApoioA,MATCH($B19,ApoioB,0)),IF(COUNTIF(ApoioA,$B19)&gt;0,$B19,IF($B19="RESOLUÇÃO 049/2022-CONSUNI/CPPGEC","CAPPG - Res 49",IF($B19="OUTROS","DIREÇÃO","")))))="PPGEL")*ApoioK+((IFERROR(INDEX(ApoioA,MATCH($B19,ApoioB,0)),IF(COUNTIF(ApoioA,$B19)&gt;0,$B19,IF($B19="RESOLUÇÃO 049/2022-CONSUNI/CPPGEC","CAPPG - Res 49",IF($B19="OUTROS","DIREÇÃO","")))))="PPGH/PPGDH")*ApoioL)),ApoioG))</f>
        <v/>
      </c>
      <c r="K19" s="89">
        <f>IF(AND(ISNUMBER(I19),ISNUMBER(J19)),I19-J19,"Pendente")</f>
        <v/>
      </c>
      <c r="L19" s="70" t="n"/>
      <c r="M19" s="89">
        <f>IF(AND(ISNUMBER(G19),ISNUMBER(K19)),G19+K19,"Pendente")</f>
        <v/>
      </c>
      <c r="O19" s="67" t="inlineStr">
        <is>
          <t>Grupo principal</t>
        </is>
      </c>
      <c r="P19" s="67">
        <f>B19</f>
        <v/>
      </c>
    </row>
    <row r="20" ht="15" customHeight="1" s="61">
      <c r="A20" s="69" t="n"/>
      <c r="B20" s="87" t="inlineStr">
        <is>
          <t>Medicina</t>
        </is>
      </c>
      <c r="C20" s="88">
        <f>IF(AND(ISNUMBER(E20),ISNUMBER(I20)),E20+I20,"Pendente")</f>
        <v/>
      </c>
      <c r="D20" s="70" t="n"/>
      <c r="E20" s="88">
        <f>IF(SUMPRODUCT((--(ApoioA&lt;&gt;"")*--(((ApoioA=(IFERROR(INDEX(ApoioA,MATCH($B20,ApoioB,0)),IF(COUNTIF(ApoioA,$B20)&gt;0,$B20,IF($B20="RESOLUÇÃO 049/2022-CONSUNI/CPPGEC","CAPPG - Res 49",IF($B20="OUTROS","DIREÇÃO",""))))))+((IFERROR(INDEX(ApoioA,MATCH($B20,ApoioB,0)),IF(COUNTIF(ApoioA,$B20)&gt;0,$B20,IF($B20="RESOLUÇÃO 049/2022-CONSUNI/CPPGEC","CAPPG - Res 49",IF($B20="OUTROS","DIREÇÃO","")))))="DIREÇÃO")*(LEFT(ApoioA,9)="DIREÇÃO -"))&gt;0))+(--(ApoioA="PPGEL +")*(((IFERROR(INDEX(ApoioA,MATCH($B20,ApoioB,0)),IF(COUNTIF(ApoioA,$B20)&gt;0,$B20,IF($B20="RESOLUÇÃO 049/2022-CONSUNI/CPPGEC","CAPPG - Res 49",IF($B20="OUTROS","DIREÇÃO","")))))="PPGE")*ApoioJ+((IFERROR(INDEX(ApoioA,MATCH($B20,ApoioB,0)),IF(COUNTIF(ApoioA,$B20)&gt;0,$B20,IF($B20="RESOLUÇÃO 049/2022-CONSUNI/CPPGEC","CAPPG - Res 49",IF($B20="OUTROS","DIREÇÃO","")))))="PPGEL")*ApoioK+((IFERROR(INDEX(ApoioA,MATCH($B20,ApoioB,0)),IF(COUNTIF(ApoioA,$B20)&gt;0,$B20,IF($B20="RESOLUÇÃO 049/2022-CONSUNI/CPPGEC","CAPPG - Res 49",IF($B20="OUTROS","DIREÇÃO","")))))="PPGH/PPGDH")*ApoioL)),--ISNUMBER(ApoioD))=0,"Pendente",SUMPRODUCT((--(ApoioA&lt;&gt;"")*--(((ApoioA=(IFERROR(INDEX(ApoioA,MATCH($B20,ApoioB,0)),IF(COUNTIF(ApoioA,$B20)&gt;0,$B20,IF($B20="RESOLUÇÃO 049/2022-CONSUNI/CPPGEC","CAPPG - Res 49",IF($B20="OUTROS","DIREÇÃO",""))))))+((IFERROR(INDEX(ApoioA,MATCH($B20,ApoioB,0)),IF(COUNTIF(ApoioA,$B20)&gt;0,$B20,IF($B20="RESOLUÇÃO 049/2022-CONSUNI/CPPGEC","CAPPG - Res 49",IF($B20="OUTROS","DIREÇÃO","")))))="DIREÇÃO")*(LEFT(ApoioA,9)="DIREÇÃO -"))&gt;0))+(--(ApoioA="PPGEL +")*(((IFERROR(INDEX(ApoioA,MATCH($B20,ApoioB,0)),IF(COUNTIF(ApoioA,$B20)&gt;0,$B20,IF($B20="RESOLUÇÃO 049/2022-CONSUNI/CPPGEC","CAPPG - Res 49",IF($B20="OUTROS","DIREÇÃO","")))))="PPGE")*ApoioJ+((IFERROR(INDEX(ApoioA,MATCH($B20,ApoioB,0)),IF(COUNTIF(ApoioA,$B20)&gt;0,$B20,IF($B20="RESOLUÇÃO 049/2022-CONSUNI/CPPGEC","CAPPG - Res 49",IF($B20="OUTROS","DIREÇÃO","")))))="PPGEL")*ApoioK+((IFERROR(INDEX(ApoioA,MATCH($B20,ApoioB,0)),IF(COUNTIF(ApoioA,$B20)&gt;0,$B20,IF($B20="RESOLUÇÃO 049/2022-CONSUNI/CPPGEC","CAPPG - Res 49",IF($B20="OUTROS","DIREÇÃO","")))))="PPGH/PPGDH")*ApoioL)),ApoioD))</f>
        <v/>
      </c>
      <c r="F20" s="89">
        <f>IF(SUMPRODUCT((--(ApoioA&lt;&gt;"")*--(((ApoioA=(IFERROR(INDEX(ApoioA,MATCH($B20,ApoioB,0)),IF(COUNTIF(ApoioA,$B20)&gt;0,$B20,IF($B20="RESOLUÇÃO 049/2022-CONSUNI/CPPGEC","CAPPG - Res 49",IF($B20="OUTROS","DIREÇÃO",""))))))+((IFERROR(INDEX(ApoioA,MATCH($B20,ApoioB,0)),IF(COUNTIF(ApoioA,$B20)&gt;0,$B20,IF($B20="RESOLUÇÃO 049/2022-CONSUNI/CPPGEC","CAPPG - Res 49",IF($B20="OUTROS","DIREÇÃO","")))))="DIREÇÃO")*(LEFT(ApoioA,9)="DIREÇÃO -"))&gt;0))+(--(ApoioA="PPGEL +")*(((IFERROR(INDEX(ApoioA,MATCH($B20,ApoioB,0)),IF(COUNTIF(ApoioA,$B20)&gt;0,$B20,IF($B20="RESOLUÇÃO 049/2022-CONSUNI/CPPGEC","CAPPG - Res 49",IF($B20="OUTROS","DIREÇÃO","")))))="PPGE")*ApoioJ+((IFERROR(INDEX(ApoioA,MATCH($B20,ApoioB,0)),IF(COUNTIF(ApoioA,$B20)&gt;0,$B20,IF($B20="RESOLUÇÃO 049/2022-CONSUNI/CPPGEC","CAPPG - Res 49",IF($B20="OUTROS","DIREÇÃO","")))))="PPGEL")*ApoioK+((IFERROR(INDEX(ApoioA,MATCH($B20,ApoioB,0)),IF(COUNTIF(ApoioA,$B20)&gt;0,$B20,IF($B20="RESOLUÇÃO 049/2022-CONSUNI/CPPGEC","CAPPG - Res 49",IF($B20="OUTROS","DIREÇÃO","")))))="PPGH/PPGDH")*ApoioL)),COUNTIFS(ViagensM,ApoioA,ViagensC,"Cancelada",ViagensN,""))&gt;0,"Pendente",SUMPRODUCT((--(ApoioA&lt;&gt;"")*--(((ApoioA=(IFERROR(INDEX(ApoioA,MATCH($B20,ApoioB,0)),IF(COUNTIF(ApoioA,$B20)&gt;0,$B20,IF($B20="RESOLUÇÃO 049/2022-CONSUNI/CPPGEC","CAPPG - Res 49",IF($B20="OUTROS","DIREÇÃO",""))))))+((IFERROR(INDEX(ApoioA,MATCH($B20,ApoioB,0)),IF(COUNTIF(ApoioA,$B20)&gt;0,$B20,IF($B20="RESOLUÇÃO 049/2022-CONSUNI/CPPGEC","CAPPG - Res 49",IF($B20="OUTROS","DIREÇÃO","")))))="DIREÇÃO")*(LEFT(ApoioA,9)="DIREÇÃO -"))&gt;0))+(--(ApoioA="PPGEL +")*(((IFERROR(INDEX(ApoioA,MATCH($B20,ApoioB,0)),IF(COUNTIF(ApoioA,$B20)&gt;0,$B20,IF($B20="RESOLUÇÃO 049/2022-CONSUNI/CPPGEC","CAPPG - Res 49",IF($B20="OUTROS","DIREÇÃO","")))))="PPGE")*ApoioJ+((IFERROR(INDEX(ApoioA,MATCH($B20,ApoioB,0)),IF(COUNTIF(ApoioA,$B20)&gt;0,$B20,IF($B20="RESOLUÇÃO 049/2022-CONSUNI/CPPGEC","CAPPG - Res 49",IF($B20="OUTROS","DIREÇÃO","")))))="PPGEL")*ApoioK+((IFERROR(INDEX(ApoioA,MATCH($B20,ApoioB,0)),IF(COUNTIF(ApoioA,$B20)&gt;0,$B20,IF($B20="RESOLUÇÃO 049/2022-CONSUNI/CPPGEC","CAPPG - Res 49",IF($B20="OUTROS","DIREÇÃO","")))))="PPGH/PPGDH")*ApoioL)),(SUMIFS(ViagensK,ViagensM,ApoioA,ViagensC,"&lt;&gt;Cancelada")+SUMIFS(ViagensK,ViagensM,ApoioA,ViagensC,"Cancelada",ViagensN,"Sim"))))</f>
        <v/>
      </c>
      <c r="G20" s="89">
        <f>IF(AND(ISNUMBER(E20),ISNUMBER(F20)),E20-F20,"Pendente")</f>
        <v/>
      </c>
      <c r="H20" s="70" t="n"/>
      <c r="I20" s="88">
        <f>IF(SUMPRODUCT((--(ApoioA&lt;&gt;"")*--(((ApoioA=(IFERROR(INDEX(ApoioA,MATCH($B20,ApoioB,0)),IF(COUNTIF(ApoioA,$B20)&gt;0,$B20,IF($B20="RESOLUÇÃO 049/2022-CONSUNI/CPPGEC","CAPPG - Res 49",IF($B20="OUTROS","DIREÇÃO",""))))))+((IFERROR(INDEX(ApoioA,MATCH($B20,ApoioB,0)),IF(COUNTIF(ApoioA,$B20)&gt;0,$B20,IF($B20="RESOLUÇÃO 049/2022-CONSUNI/CPPGEC","CAPPG - Res 49",IF($B20="OUTROS","DIREÇÃO","")))))="DIREÇÃO")*(LEFT(ApoioA,9)="DIREÇÃO -"))&gt;0))+(--(ApoioA="PPGEL +")*(((IFERROR(INDEX(ApoioA,MATCH($B20,ApoioB,0)),IF(COUNTIF(ApoioA,$B20)&gt;0,$B20,IF($B20="RESOLUÇÃO 049/2022-CONSUNI/CPPGEC","CAPPG - Res 49",IF($B20="OUTROS","DIREÇÃO","")))))="PPGE")*ApoioJ+((IFERROR(INDEX(ApoioA,MATCH($B20,ApoioB,0)),IF(COUNTIF(ApoioA,$B20)&gt;0,$B20,IF($B20="RESOLUÇÃO 049/2022-CONSUNI/CPPGEC","CAPPG - Res 49",IF($B20="OUTROS","DIREÇÃO","")))))="PPGEL")*ApoioK+((IFERROR(INDEX(ApoioA,MATCH($B20,ApoioB,0)),IF(COUNTIF(ApoioA,$B20)&gt;0,$B20,IF($B20="RESOLUÇÃO 049/2022-CONSUNI/CPPGEC","CAPPG - Res 49",IF($B20="OUTROS","DIREÇÃO","")))))="PPGH/PPGDH")*ApoioL)),--ISNUMBER(ApoioE))=0,"Pendente",SUMPRODUCT((--(ApoioA&lt;&gt;"")*--(((ApoioA=(IFERROR(INDEX(ApoioA,MATCH($B20,ApoioB,0)),IF(COUNTIF(ApoioA,$B20)&gt;0,$B20,IF($B20="RESOLUÇÃO 049/2022-CONSUNI/CPPGEC","CAPPG - Res 49",IF($B20="OUTROS","DIREÇÃO",""))))))+((IFERROR(INDEX(ApoioA,MATCH($B20,ApoioB,0)),IF(COUNTIF(ApoioA,$B20)&gt;0,$B20,IF($B20="RESOLUÇÃO 049/2022-CONSUNI/CPPGEC","CAPPG - Res 49",IF($B20="OUTROS","DIREÇÃO","")))))="DIREÇÃO")*(LEFT(ApoioA,9)="DIREÇÃO -"))&gt;0))+(--(ApoioA="PPGEL +")*(((IFERROR(INDEX(ApoioA,MATCH($B20,ApoioB,0)),IF(COUNTIF(ApoioA,$B20)&gt;0,$B20,IF($B20="RESOLUÇÃO 049/2022-CONSUNI/CPPGEC","CAPPG - Res 49",IF($B20="OUTROS","DIREÇÃO","")))))="PPGE")*ApoioJ+((IFERROR(INDEX(ApoioA,MATCH($B20,ApoioB,0)),IF(COUNTIF(ApoioA,$B20)&gt;0,$B20,IF($B20="RESOLUÇÃO 049/2022-CONSUNI/CPPGEC","CAPPG - Res 49",IF($B20="OUTROS","DIREÇÃO","")))))="PPGEL")*ApoioK+((IFERROR(INDEX(ApoioA,MATCH($B20,ApoioB,0)),IF(COUNTIF(ApoioA,$B20)&gt;0,$B20,IF($B20="RESOLUÇÃO 049/2022-CONSUNI/CPPGEC","CAPPG - Res 49",IF($B20="OUTROS","DIREÇÃO","")))))="PPGH/PPGDH")*ApoioL)),ApoioE))</f>
        <v/>
      </c>
      <c r="J20" s="89">
        <f>IF(SUMPRODUCT((--(ApoioA&lt;&gt;"")*--(((ApoioA=(IFERROR(INDEX(ApoioA,MATCH($B20,ApoioB,0)),IF(COUNTIF(ApoioA,$B20)&gt;0,$B20,IF($B20="RESOLUÇÃO 049/2022-CONSUNI/CPPGEC","CAPPG - Res 49",IF($B20="OUTROS","DIREÇÃO",""))))))+((IFERROR(INDEX(ApoioA,MATCH($B20,ApoioB,0)),IF(COUNTIF(ApoioA,$B20)&gt;0,$B20,IF($B20="RESOLUÇÃO 049/2022-CONSUNI/CPPGEC","CAPPG - Res 49",IF($B20="OUTROS","DIREÇÃO","")))))="DIREÇÃO")*(LEFT(ApoioA,9)="DIREÇÃO -"))&gt;0))+(--(ApoioA="PPGEL +")*(((IFERROR(INDEX(ApoioA,MATCH($B20,ApoioB,0)),IF(COUNTIF(ApoioA,$B20)&gt;0,$B20,IF($B20="RESOLUÇÃO 049/2022-CONSUNI/CPPGEC","CAPPG - Res 49",IF($B20="OUTROS","DIREÇÃO","")))))="PPGE")*ApoioJ+((IFERROR(INDEX(ApoioA,MATCH($B20,ApoioB,0)),IF(COUNTIF(ApoioA,$B20)&gt;0,$B20,IF($B20="RESOLUÇÃO 049/2022-CONSUNI/CPPGEC","CAPPG - Res 49",IF($B20="OUTROS","DIREÇÃO","")))))="PPGEL")*ApoioK+((IFERROR(INDEX(ApoioA,MATCH($B20,ApoioB,0)),IF(COUNTIF(ApoioA,$B20)&gt;0,$B20,IF($B20="RESOLUÇÃO 049/2022-CONSUNI/CPPGEC","CAPPG - Res 49",IF($B20="OUTROS","DIREÇÃO","")))))="PPGH/PPGDH")*ApoioL)),--ISNUMBER(ApoioG))=0,"Pendente",SUMPRODUCT((--(ApoioA&lt;&gt;"")*--(((ApoioA=(IFERROR(INDEX(ApoioA,MATCH($B20,ApoioB,0)),IF(COUNTIF(ApoioA,$B20)&gt;0,$B20,IF($B20="RESOLUÇÃO 049/2022-CONSUNI/CPPGEC","CAPPG - Res 49",IF($B20="OUTROS","DIREÇÃO",""))))))+((IFERROR(INDEX(ApoioA,MATCH($B20,ApoioB,0)),IF(COUNTIF(ApoioA,$B20)&gt;0,$B20,IF($B20="RESOLUÇÃO 049/2022-CONSUNI/CPPGEC","CAPPG - Res 49",IF($B20="OUTROS","DIREÇÃO","")))))="DIREÇÃO")*(LEFT(ApoioA,9)="DIREÇÃO -"))&gt;0))+(--(ApoioA="PPGEL +")*(((IFERROR(INDEX(ApoioA,MATCH($B20,ApoioB,0)),IF(COUNTIF(ApoioA,$B20)&gt;0,$B20,IF($B20="RESOLUÇÃO 049/2022-CONSUNI/CPPGEC","CAPPG - Res 49",IF($B20="OUTROS","DIREÇÃO","")))))="PPGE")*ApoioJ+((IFERROR(INDEX(ApoioA,MATCH($B20,ApoioB,0)),IF(COUNTIF(ApoioA,$B20)&gt;0,$B20,IF($B20="RESOLUÇÃO 049/2022-CONSUNI/CPPGEC","CAPPG - Res 49",IF($B20="OUTROS","DIREÇÃO","")))))="PPGEL")*ApoioK+((IFERROR(INDEX(ApoioA,MATCH($B20,ApoioB,0)),IF(COUNTIF(ApoioA,$B20)&gt;0,$B20,IF($B20="RESOLUÇÃO 049/2022-CONSUNI/CPPGEC","CAPPG - Res 49",IF($B20="OUTROS","DIREÇÃO","")))))="PPGH/PPGDH")*ApoioL)),ApoioG))</f>
        <v/>
      </c>
      <c r="K20" s="89">
        <f>IF(AND(ISNUMBER(I20),ISNUMBER(J20)),I20-J20,"Pendente")</f>
        <v/>
      </c>
      <c r="L20" s="70" t="n"/>
      <c r="M20" s="89">
        <f>IF(AND(ISNUMBER(G20),ISNUMBER(K20)),G20+K20,"Pendente")</f>
        <v/>
      </c>
      <c r="O20" s="67" t="inlineStr">
        <is>
          <t>Grupo principal</t>
        </is>
      </c>
      <c r="P20" s="67">
        <f>B20</f>
        <v/>
      </c>
    </row>
    <row r="21" ht="15" customHeight="1" s="61">
      <c r="A21" s="69" t="n"/>
      <c r="B21" s="93" t="inlineStr">
        <is>
          <t>Pedagogia</t>
        </is>
      </c>
      <c r="C21" s="88">
        <f>IF(AND(ISNUMBER(E21),ISNUMBER(I21)),E21+I21,"Pendente")</f>
        <v/>
      </c>
      <c r="D21" s="70" t="n"/>
      <c r="E21" s="88">
        <f>IF(SUMPRODUCT((--(ApoioA&lt;&gt;"")*--(((ApoioA=(IFERROR(INDEX(ApoioA,MATCH($B21,ApoioB,0)),IF(COUNTIF(ApoioA,$B21)&gt;0,$B21,IF($B21="RESOLUÇÃO 049/2022-CONSUNI/CPPGEC","CAPPG - Res 49",IF($B21="OUTROS","DIREÇÃO",""))))))+((IFERROR(INDEX(ApoioA,MATCH($B21,ApoioB,0)),IF(COUNTIF(ApoioA,$B21)&gt;0,$B21,IF($B21="RESOLUÇÃO 049/2022-CONSUNI/CPPGEC","CAPPG - Res 49",IF($B21="OUTROS","DIREÇÃO","")))))="DIREÇÃO")*(LEFT(ApoioA,9)="DIREÇÃO -"))&gt;0))+(--(ApoioA="PPGEL +")*(((IFERROR(INDEX(ApoioA,MATCH($B21,ApoioB,0)),IF(COUNTIF(ApoioA,$B21)&gt;0,$B21,IF($B21="RESOLUÇÃO 049/2022-CONSUNI/CPPGEC","CAPPG - Res 49",IF($B21="OUTROS","DIREÇÃO","")))))="PPGE")*ApoioJ+((IFERROR(INDEX(ApoioA,MATCH($B21,ApoioB,0)),IF(COUNTIF(ApoioA,$B21)&gt;0,$B21,IF($B21="RESOLUÇÃO 049/2022-CONSUNI/CPPGEC","CAPPG - Res 49",IF($B21="OUTROS","DIREÇÃO","")))))="PPGEL")*ApoioK+((IFERROR(INDEX(ApoioA,MATCH($B21,ApoioB,0)),IF(COUNTIF(ApoioA,$B21)&gt;0,$B21,IF($B21="RESOLUÇÃO 049/2022-CONSUNI/CPPGEC","CAPPG - Res 49",IF($B21="OUTROS","DIREÇÃO","")))))="PPGH/PPGDH")*ApoioL)),--ISNUMBER(ApoioD))=0,"Pendente",SUMPRODUCT((--(ApoioA&lt;&gt;"")*--(((ApoioA=(IFERROR(INDEX(ApoioA,MATCH($B21,ApoioB,0)),IF(COUNTIF(ApoioA,$B21)&gt;0,$B21,IF($B21="RESOLUÇÃO 049/2022-CONSUNI/CPPGEC","CAPPG - Res 49",IF($B21="OUTROS","DIREÇÃO",""))))))+((IFERROR(INDEX(ApoioA,MATCH($B21,ApoioB,0)),IF(COUNTIF(ApoioA,$B21)&gt;0,$B21,IF($B21="RESOLUÇÃO 049/2022-CONSUNI/CPPGEC","CAPPG - Res 49",IF($B21="OUTROS","DIREÇÃO","")))))="DIREÇÃO")*(LEFT(ApoioA,9)="DIREÇÃO -"))&gt;0))+(--(ApoioA="PPGEL +")*(((IFERROR(INDEX(ApoioA,MATCH($B21,ApoioB,0)),IF(COUNTIF(ApoioA,$B21)&gt;0,$B21,IF($B21="RESOLUÇÃO 049/2022-CONSUNI/CPPGEC","CAPPG - Res 49",IF($B21="OUTROS","DIREÇÃO","")))))="PPGE")*ApoioJ+((IFERROR(INDEX(ApoioA,MATCH($B21,ApoioB,0)),IF(COUNTIF(ApoioA,$B21)&gt;0,$B21,IF($B21="RESOLUÇÃO 049/2022-CONSUNI/CPPGEC","CAPPG - Res 49",IF($B21="OUTROS","DIREÇÃO","")))))="PPGEL")*ApoioK+((IFERROR(INDEX(ApoioA,MATCH($B21,ApoioB,0)),IF(COUNTIF(ApoioA,$B21)&gt;0,$B21,IF($B21="RESOLUÇÃO 049/2022-CONSUNI/CPPGEC","CAPPG - Res 49",IF($B21="OUTROS","DIREÇÃO","")))))="PPGH/PPGDH")*ApoioL)),ApoioD))</f>
        <v/>
      </c>
      <c r="F21" s="89">
        <f>IF(SUMPRODUCT((--(ApoioA&lt;&gt;"")*--(((ApoioA=(IFERROR(INDEX(ApoioA,MATCH($B21,ApoioB,0)),IF(COUNTIF(ApoioA,$B21)&gt;0,$B21,IF($B21="RESOLUÇÃO 049/2022-CONSUNI/CPPGEC","CAPPG - Res 49",IF($B21="OUTROS","DIREÇÃO",""))))))+((IFERROR(INDEX(ApoioA,MATCH($B21,ApoioB,0)),IF(COUNTIF(ApoioA,$B21)&gt;0,$B21,IF($B21="RESOLUÇÃO 049/2022-CONSUNI/CPPGEC","CAPPG - Res 49",IF($B21="OUTROS","DIREÇÃO","")))))="DIREÇÃO")*(LEFT(ApoioA,9)="DIREÇÃO -"))&gt;0))+(--(ApoioA="PPGEL +")*(((IFERROR(INDEX(ApoioA,MATCH($B21,ApoioB,0)),IF(COUNTIF(ApoioA,$B21)&gt;0,$B21,IF($B21="RESOLUÇÃO 049/2022-CONSUNI/CPPGEC","CAPPG - Res 49",IF($B21="OUTROS","DIREÇÃO","")))))="PPGE")*ApoioJ+((IFERROR(INDEX(ApoioA,MATCH($B21,ApoioB,0)),IF(COUNTIF(ApoioA,$B21)&gt;0,$B21,IF($B21="RESOLUÇÃO 049/2022-CONSUNI/CPPGEC","CAPPG - Res 49",IF($B21="OUTROS","DIREÇÃO","")))))="PPGEL")*ApoioK+((IFERROR(INDEX(ApoioA,MATCH($B21,ApoioB,0)),IF(COUNTIF(ApoioA,$B21)&gt;0,$B21,IF($B21="RESOLUÇÃO 049/2022-CONSUNI/CPPGEC","CAPPG - Res 49",IF($B21="OUTROS","DIREÇÃO","")))))="PPGH/PPGDH")*ApoioL)),COUNTIFS(ViagensM,ApoioA,ViagensC,"Cancelada",ViagensN,""))&gt;0,"Pendente",SUMPRODUCT((--(ApoioA&lt;&gt;"")*--(((ApoioA=(IFERROR(INDEX(ApoioA,MATCH($B21,ApoioB,0)),IF(COUNTIF(ApoioA,$B21)&gt;0,$B21,IF($B21="RESOLUÇÃO 049/2022-CONSUNI/CPPGEC","CAPPG - Res 49",IF($B21="OUTROS","DIREÇÃO",""))))))+((IFERROR(INDEX(ApoioA,MATCH($B21,ApoioB,0)),IF(COUNTIF(ApoioA,$B21)&gt;0,$B21,IF($B21="RESOLUÇÃO 049/2022-CONSUNI/CPPGEC","CAPPG - Res 49",IF($B21="OUTROS","DIREÇÃO","")))))="DIREÇÃO")*(LEFT(ApoioA,9)="DIREÇÃO -"))&gt;0))+(--(ApoioA="PPGEL +")*(((IFERROR(INDEX(ApoioA,MATCH($B21,ApoioB,0)),IF(COUNTIF(ApoioA,$B21)&gt;0,$B21,IF($B21="RESOLUÇÃO 049/2022-CONSUNI/CPPGEC","CAPPG - Res 49",IF($B21="OUTROS","DIREÇÃO","")))))="PPGE")*ApoioJ+((IFERROR(INDEX(ApoioA,MATCH($B21,ApoioB,0)),IF(COUNTIF(ApoioA,$B21)&gt;0,$B21,IF($B21="RESOLUÇÃO 049/2022-CONSUNI/CPPGEC","CAPPG - Res 49",IF($B21="OUTROS","DIREÇÃO","")))))="PPGEL")*ApoioK+((IFERROR(INDEX(ApoioA,MATCH($B21,ApoioB,0)),IF(COUNTIF(ApoioA,$B21)&gt;0,$B21,IF($B21="RESOLUÇÃO 049/2022-CONSUNI/CPPGEC","CAPPG - Res 49",IF($B21="OUTROS","DIREÇÃO","")))))="PPGH/PPGDH")*ApoioL)),(SUMIFS(ViagensK,ViagensM,ApoioA,ViagensC,"&lt;&gt;Cancelada")+SUMIFS(ViagensK,ViagensM,ApoioA,ViagensC,"Cancelada",ViagensN,"Sim"))))</f>
        <v/>
      </c>
      <c r="G21" s="89">
        <f>IF(AND(ISNUMBER(E21),ISNUMBER(F21)),E21-F21,"Pendente")</f>
        <v/>
      </c>
      <c r="H21" s="70" t="n"/>
      <c r="I21" s="88">
        <f>IF(SUMPRODUCT((--(ApoioA&lt;&gt;"")*--(((ApoioA=(IFERROR(INDEX(ApoioA,MATCH($B21,ApoioB,0)),IF(COUNTIF(ApoioA,$B21)&gt;0,$B21,IF($B21="RESOLUÇÃO 049/2022-CONSUNI/CPPGEC","CAPPG - Res 49",IF($B21="OUTROS","DIREÇÃO",""))))))+((IFERROR(INDEX(ApoioA,MATCH($B21,ApoioB,0)),IF(COUNTIF(ApoioA,$B21)&gt;0,$B21,IF($B21="RESOLUÇÃO 049/2022-CONSUNI/CPPGEC","CAPPG - Res 49",IF($B21="OUTROS","DIREÇÃO","")))))="DIREÇÃO")*(LEFT(ApoioA,9)="DIREÇÃO -"))&gt;0))+(--(ApoioA="PPGEL +")*(((IFERROR(INDEX(ApoioA,MATCH($B21,ApoioB,0)),IF(COUNTIF(ApoioA,$B21)&gt;0,$B21,IF($B21="RESOLUÇÃO 049/2022-CONSUNI/CPPGEC","CAPPG - Res 49",IF($B21="OUTROS","DIREÇÃO","")))))="PPGE")*ApoioJ+((IFERROR(INDEX(ApoioA,MATCH($B21,ApoioB,0)),IF(COUNTIF(ApoioA,$B21)&gt;0,$B21,IF($B21="RESOLUÇÃO 049/2022-CONSUNI/CPPGEC","CAPPG - Res 49",IF($B21="OUTROS","DIREÇÃO","")))))="PPGEL")*ApoioK+((IFERROR(INDEX(ApoioA,MATCH($B21,ApoioB,0)),IF(COUNTIF(ApoioA,$B21)&gt;0,$B21,IF($B21="RESOLUÇÃO 049/2022-CONSUNI/CPPGEC","CAPPG - Res 49",IF($B21="OUTROS","DIREÇÃO","")))))="PPGH/PPGDH")*ApoioL)),--ISNUMBER(ApoioE))=0,"Pendente",SUMPRODUCT((--(ApoioA&lt;&gt;"")*--(((ApoioA=(IFERROR(INDEX(ApoioA,MATCH($B21,ApoioB,0)),IF(COUNTIF(ApoioA,$B21)&gt;0,$B21,IF($B21="RESOLUÇÃO 049/2022-CONSUNI/CPPGEC","CAPPG - Res 49",IF($B21="OUTROS","DIREÇÃO",""))))))+((IFERROR(INDEX(ApoioA,MATCH($B21,ApoioB,0)),IF(COUNTIF(ApoioA,$B21)&gt;0,$B21,IF($B21="RESOLUÇÃO 049/2022-CONSUNI/CPPGEC","CAPPG - Res 49",IF($B21="OUTROS","DIREÇÃO","")))))="DIREÇÃO")*(LEFT(ApoioA,9)="DIREÇÃO -"))&gt;0))+(--(ApoioA="PPGEL +")*(((IFERROR(INDEX(ApoioA,MATCH($B21,ApoioB,0)),IF(COUNTIF(ApoioA,$B21)&gt;0,$B21,IF($B21="RESOLUÇÃO 049/2022-CONSUNI/CPPGEC","CAPPG - Res 49",IF($B21="OUTROS","DIREÇÃO","")))))="PPGE")*ApoioJ+((IFERROR(INDEX(ApoioA,MATCH($B21,ApoioB,0)),IF(COUNTIF(ApoioA,$B21)&gt;0,$B21,IF($B21="RESOLUÇÃO 049/2022-CONSUNI/CPPGEC","CAPPG - Res 49",IF($B21="OUTROS","DIREÇÃO","")))))="PPGEL")*ApoioK+((IFERROR(INDEX(ApoioA,MATCH($B21,ApoioB,0)),IF(COUNTIF(ApoioA,$B21)&gt;0,$B21,IF($B21="RESOLUÇÃO 049/2022-CONSUNI/CPPGEC","CAPPG - Res 49",IF($B21="OUTROS","DIREÇÃO","")))))="PPGH/PPGDH")*ApoioL)),ApoioE))</f>
        <v/>
      </c>
      <c r="J21" s="89">
        <f>IF(SUMPRODUCT((--(ApoioA&lt;&gt;"")*--(((ApoioA=(IFERROR(INDEX(ApoioA,MATCH($B21,ApoioB,0)),IF(COUNTIF(ApoioA,$B21)&gt;0,$B21,IF($B21="RESOLUÇÃO 049/2022-CONSUNI/CPPGEC","CAPPG - Res 49",IF($B21="OUTROS","DIREÇÃO",""))))))+((IFERROR(INDEX(ApoioA,MATCH($B21,ApoioB,0)),IF(COUNTIF(ApoioA,$B21)&gt;0,$B21,IF($B21="RESOLUÇÃO 049/2022-CONSUNI/CPPGEC","CAPPG - Res 49",IF($B21="OUTROS","DIREÇÃO","")))))="DIREÇÃO")*(LEFT(ApoioA,9)="DIREÇÃO -"))&gt;0))+(--(ApoioA="PPGEL +")*(((IFERROR(INDEX(ApoioA,MATCH($B21,ApoioB,0)),IF(COUNTIF(ApoioA,$B21)&gt;0,$B21,IF($B21="RESOLUÇÃO 049/2022-CONSUNI/CPPGEC","CAPPG - Res 49",IF($B21="OUTROS","DIREÇÃO","")))))="PPGE")*ApoioJ+((IFERROR(INDEX(ApoioA,MATCH($B21,ApoioB,0)),IF(COUNTIF(ApoioA,$B21)&gt;0,$B21,IF($B21="RESOLUÇÃO 049/2022-CONSUNI/CPPGEC","CAPPG - Res 49",IF($B21="OUTROS","DIREÇÃO","")))))="PPGEL")*ApoioK+((IFERROR(INDEX(ApoioA,MATCH($B21,ApoioB,0)),IF(COUNTIF(ApoioA,$B21)&gt;0,$B21,IF($B21="RESOLUÇÃO 049/2022-CONSUNI/CPPGEC","CAPPG - Res 49",IF($B21="OUTROS","DIREÇÃO","")))))="PPGH/PPGDH")*ApoioL)),--ISNUMBER(ApoioG))=0,"Pendente",SUMPRODUCT((--(ApoioA&lt;&gt;"")*--(((ApoioA=(IFERROR(INDEX(ApoioA,MATCH($B21,ApoioB,0)),IF(COUNTIF(ApoioA,$B21)&gt;0,$B21,IF($B21="RESOLUÇÃO 049/2022-CONSUNI/CPPGEC","CAPPG - Res 49",IF($B21="OUTROS","DIREÇÃO",""))))))+((IFERROR(INDEX(ApoioA,MATCH($B21,ApoioB,0)),IF(COUNTIF(ApoioA,$B21)&gt;0,$B21,IF($B21="RESOLUÇÃO 049/2022-CONSUNI/CPPGEC","CAPPG - Res 49",IF($B21="OUTROS","DIREÇÃO","")))))="DIREÇÃO")*(LEFT(ApoioA,9)="DIREÇÃO -"))&gt;0))+(--(ApoioA="PPGEL +")*(((IFERROR(INDEX(ApoioA,MATCH($B21,ApoioB,0)),IF(COUNTIF(ApoioA,$B21)&gt;0,$B21,IF($B21="RESOLUÇÃO 049/2022-CONSUNI/CPPGEC","CAPPG - Res 49",IF($B21="OUTROS","DIREÇÃO","")))))="PPGE")*ApoioJ+((IFERROR(INDEX(ApoioA,MATCH($B21,ApoioB,0)),IF(COUNTIF(ApoioA,$B21)&gt;0,$B21,IF($B21="RESOLUÇÃO 049/2022-CONSUNI/CPPGEC","CAPPG - Res 49",IF($B21="OUTROS","DIREÇÃO","")))))="PPGEL")*ApoioK+((IFERROR(INDEX(ApoioA,MATCH($B21,ApoioB,0)),IF(COUNTIF(ApoioA,$B21)&gt;0,$B21,IF($B21="RESOLUÇÃO 049/2022-CONSUNI/CPPGEC","CAPPG - Res 49",IF($B21="OUTROS","DIREÇÃO","")))))="PPGH/PPGDH")*ApoioL)),ApoioG))</f>
        <v/>
      </c>
      <c r="K21" s="89">
        <f>IF(AND(ISNUMBER(I21),ISNUMBER(J21)),I21-J21,"Pendente")</f>
        <v/>
      </c>
      <c r="L21" s="70" t="n"/>
      <c r="M21" s="89">
        <f>IF(AND(ISNUMBER(G21),ISNUMBER(K21)),G21+K21,"Pendente")</f>
        <v/>
      </c>
      <c r="O21" s="67" t="inlineStr">
        <is>
          <t>Grupo principal</t>
        </is>
      </c>
      <c r="P21" s="67">
        <f>B21</f>
        <v/>
      </c>
    </row>
    <row r="22" ht="15.75" customHeight="1" s="61">
      <c r="A22" s="69" t="n"/>
      <c r="B22" s="94" t="inlineStr">
        <is>
          <t>TOTAL CURSOS GRADUAÇÃO</t>
        </is>
      </c>
      <c r="C22" s="95">
        <f>IF(COUNT(C7:C21)=15,SUM(C7:C21),"Pendente")</f>
        <v/>
      </c>
      <c r="D22" s="70" t="n"/>
      <c r="E22" s="95">
        <f>IF(COUNT(E7:E21)=15,SUM(E7:E21),"Pendente")</f>
        <v/>
      </c>
      <c r="F22" s="95">
        <f>IF(COUNT(F7:F21)=15,SUM(F7:F21),"Pendente")</f>
        <v/>
      </c>
      <c r="G22" s="95">
        <f>IF(COUNT(G7:G21)=15,SUM(G7:G21),"Pendente")</f>
        <v/>
      </c>
      <c r="H22" s="80" t="n"/>
      <c r="I22" s="95">
        <f>IF(COUNT(I7:I21)=15,SUM(I7:I21),"Pendente")</f>
        <v/>
      </c>
      <c r="J22" s="95">
        <f>IF(COUNT(J7:J21)=15,SUM(J7:J21),"Pendente")</f>
        <v/>
      </c>
      <c r="K22" s="95">
        <f>IF(COUNT(K7:K21)=15,SUM(K7:K21),"Pendente")</f>
        <v/>
      </c>
      <c r="L22" s="96" t="n"/>
      <c r="M22" s="95">
        <f>IF(COUNT(M7:M21)=15,SUM(M7:M21),"Pendente")</f>
        <v/>
      </c>
    </row>
    <row r="23" ht="12.75" customHeight="1" s="61">
      <c r="A23" s="69" t="n"/>
      <c r="B23" s="69" t="n"/>
      <c r="C23" s="70" t="n"/>
      <c r="D23" s="70" t="n"/>
      <c r="E23" s="70" t="n"/>
      <c r="F23" s="70" t="n"/>
      <c r="G23" s="70" t="n"/>
      <c r="H23" s="70" t="n"/>
      <c r="I23" s="70" t="n"/>
      <c r="J23" s="70" t="n"/>
      <c r="K23" s="70" t="n"/>
      <c r="L23" s="70" t="n"/>
      <c r="M23" s="70" t="n"/>
    </row>
    <row r="24" ht="15" customHeight="1" s="61">
      <c r="A24" s="69" t="n"/>
      <c r="B24" s="76" t="inlineStr">
        <is>
          <t>PROGRAMAS DE PÓS</t>
        </is>
      </c>
      <c r="C24" s="97" t="inlineStr">
        <is>
          <t>Proposta 2025 Recurso Total</t>
        </is>
      </c>
      <c r="D24" s="70" t="n"/>
      <c r="E24" s="78" t="inlineStr">
        <is>
          <t>Diárias &amp; Passagens</t>
        </is>
      </c>
      <c r="F24" s="79" t="n"/>
      <c r="G24" s="79" t="n"/>
      <c r="H24" s="80" t="n"/>
      <c r="I24" s="81" t="inlineStr">
        <is>
          <t>Transportes</t>
        </is>
      </c>
      <c r="J24" s="79" t="n"/>
      <c r="K24" s="79" t="n"/>
      <c r="L24" s="80" t="n"/>
      <c r="M24" s="82" t="inlineStr">
        <is>
          <t>SALDO GERAL</t>
        </is>
      </c>
    </row>
    <row r="25" ht="15.75" customHeight="1" s="61">
      <c r="A25" s="69" t="n"/>
      <c r="B25" s="83" t="n"/>
      <c r="C25" s="83" t="n"/>
      <c r="D25" s="70" t="n"/>
      <c r="E25" s="84" t="inlineStr">
        <is>
          <t>Distribuído</t>
        </is>
      </c>
      <c r="F25" s="85" t="inlineStr">
        <is>
          <t>Utilizado</t>
        </is>
      </c>
      <c r="G25" s="85" t="inlineStr">
        <is>
          <t>Saldo</t>
        </is>
      </c>
      <c r="H25" s="86" t="n"/>
      <c r="I25" s="84" t="inlineStr">
        <is>
          <t>Distribuído</t>
        </is>
      </c>
      <c r="J25" s="85" t="inlineStr">
        <is>
          <t>Utilizado</t>
        </is>
      </c>
      <c r="K25" s="85" t="inlineStr">
        <is>
          <t>Saldo</t>
        </is>
      </c>
      <c r="L25" s="80" t="n"/>
      <c r="M25" s="83" t="n"/>
    </row>
    <row r="26" ht="15" customHeight="1" s="61">
      <c r="A26" s="69" t="n"/>
      <c r="B26" s="87" t="inlineStr">
        <is>
          <t>Mestrado em Ciências Biomédicas</t>
        </is>
      </c>
      <c r="C26" s="88">
        <f>IF(AND(ISNUMBER(E26),ISNUMBER(I26)),E26+I26,"Pendente")</f>
        <v/>
      </c>
      <c r="D26" s="70" t="n"/>
      <c r="E26" s="88">
        <f>IF(SUMPRODUCT((--(ApoioA&lt;&gt;"")*--(((ApoioA=(IFERROR(INDEX(ApoioA,MATCH($B26,ApoioB,0)),IF(COUNTIF(ApoioA,$B26)&gt;0,$B26,IF($B26="RESOLUÇÃO 049/2022-CONSUNI/CPPGEC","CAPPG - Res 49",IF($B26="OUTROS","DIREÇÃO",""))))))+((IFERROR(INDEX(ApoioA,MATCH($B26,ApoioB,0)),IF(COUNTIF(ApoioA,$B26)&gt;0,$B26,IF($B26="RESOLUÇÃO 049/2022-CONSUNI/CPPGEC","CAPPG - Res 49",IF($B26="OUTROS","DIREÇÃO","")))))="DIREÇÃO")*(LEFT(ApoioA,9)="DIREÇÃO -"))&gt;0))+(--(ApoioA="PPGEL +")*(((IFERROR(INDEX(ApoioA,MATCH($B26,ApoioB,0)),IF(COUNTIF(ApoioA,$B26)&gt;0,$B26,IF($B26="RESOLUÇÃO 049/2022-CONSUNI/CPPGEC","CAPPG - Res 49",IF($B26="OUTROS","DIREÇÃO","")))))="PPGE")*ApoioJ+((IFERROR(INDEX(ApoioA,MATCH($B26,ApoioB,0)),IF(COUNTIF(ApoioA,$B26)&gt;0,$B26,IF($B26="RESOLUÇÃO 049/2022-CONSUNI/CPPGEC","CAPPG - Res 49",IF($B26="OUTROS","DIREÇÃO","")))))="PPGEL")*ApoioK+((IFERROR(INDEX(ApoioA,MATCH($B26,ApoioB,0)),IF(COUNTIF(ApoioA,$B26)&gt;0,$B26,IF($B26="RESOLUÇÃO 049/2022-CONSUNI/CPPGEC","CAPPG - Res 49",IF($B26="OUTROS","DIREÇÃO","")))))="PPGH/PPGDH")*ApoioL)),--ISNUMBER(ApoioD))=0,"Pendente",SUMPRODUCT((--(ApoioA&lt;&gt;"")*--(((ApoioA=(IFERROR(INDEX(ApoioA,MATCH($B26,ApoioB,0)),IF(COUNTIF(ApoioA,$B26)&gt;0,$B26,IF($B26="RESOLUÇÃO 049/2022-CONSUNI/CPPGEC","CAPPG - Res 49",IF($B26="OUTROS","DIREÇÃO",""))))))+((IFERROR(INDEX(ApoioA,MATCH($B26,ApoioB,0)),IF(COUNTIF(ApoioA,$B26)&gt;0,$B26,IF($B26="RESOLUÇÃO 049/2022-CONSUNI/CPPGEC","CAPPG - Res 49",IF($B26="OUTROS","DIREÇÃO","")))))="DIREÇÃO")*(LEFT(ApoioA,9)="DIREÇÃO -"))&gt;0))+(--(ApoioA="PPGEL +")*(((IFERROR(INDEX(ApoioA,MATCH($B26,ApoioB,0)),IF(COUNTIF(ApoioA,$B26)&gt;0,$B26,IF($B26="RESOLUÇÃO 049/2022-CONSUNI/CPPGEC","CAPPG - Res 49",IF($B26="OUTROS","DIREÇÃO","")))))="PPGE")*ApoioJ+((IFERROR(INDEX(ApoioA,MATCH($B26,ApoioB,0)),IF(COUNTIF(ApoioA,$B26)&gt;0,$B26,IF($B26="RESOLUÇÃO 049/2022-CONSUNI/CPPGEC","CAPPG - Res 49",IF($B26="OUTROS","DIREÇÃO","")))))="PPGEL")*ApoioK+((IFERROR(INDEX(ApoioA,MATCH($B26,ApoioB,0)),IF(COUNTIF(ApoioA,$B26)&gt;0,$B26,IF($B26="RESOLUÇÃO 049/2022-CONSUNI/CPPGEC","CAPPG - Res 49",IF($B26="OUTROS","DIREÇÃO","")))))="PPGH/PPGDH")*ApoioL)),ApoioD))</f>
        <v/>
      </c>
      <c r="F26" s="89">
        <f>IF(SUMPRODUCT((--(ApoioA&lt;&gt;"")*--(((ApoioA=(IFERROR(INDEX(ApoioA,MATCH($B26,ApoioB,0)),IF(COUNTIF(ApoioA,$B26)&gt;0,$B26,IF($B26="RESOLUÇÃO 049/2022-CONSUNI/CPPGEC","CAPPG - Res 49",IF($B26="OUTROS","DIREÇÃO",""))))))+((IFERROR(INDEX(ApoioA,MATCH($B26,ApoioB,0)),IF(COUNTIF(ApoioA,$B26)&gt;0,$B26,IF($B26="RESOLUÇÃO 049/2022-CONSUNI/CPPGEC","CAPPG - Res 49",IF($B26="OUTROS","DIREÇÃO","")))))="DIREÇÃO")*(LEFT(ApoioA,9)="DIREÇÃO -"))&gt;0))+(--(ApoioA="PPGEL +")*(((IFERROR(INDEX(ApoioA,MATCH($B26,ApoioB,0)),IF(COUNTIF(ApoioA,$B26)&gt;0,$B26,IF($B26="RESOLUÇÃO 049/2022-CONSUNI/CPPGEC","CAPPG - Res 49",IF($B26="OUTROS","DIREÇÃO","")))))="PPGE")*ApoioJ+((IFERROR(INDEX(ApoioA,MATCH($B26,ApoioB,0)),IF(COUNTIF(ApoioA,$B26)&gt;0,$B26,IF($B26="RESOLUÇÃO 049/2022-CONSUNI/CPPGEC","CAPPG - Res 49",IF($B26="OUTROS","DIREÇÃO","")))))="PPGEL")*ApoioK+((IFERROR(INDEX(ApoioA,MATCH($B26,ApoioB,0)),IF(COUNTIF(ApoioA,$B26)&gt;0,$B26,IF($B26="RESOLUÇÃO 049/2022-CONSUNI/CPPGEC","CAPPG - Res 49",IF($B26="OUTROS","DIREÇÃO","")))))="PPGH/PPGDH")*ApoioL)),COUNTIFS(ViagensM,ApoioA,ViagensC,"Cancelada",ViagensN,""))&gt;0,"Pendente",SUMPRODUCT((--(ApoioA&lt;&gt;"")*--(((ApoioA=(IFERROR(INDEX(ApoioA,MATCH($B26,ApoioB,0)),IF(COUNTIF(ApoioA,$B26)&gt;0,$B26,IF($B26="RESOLUÇÃO 049/2022-CONSUNI/CPPGEC","CAPPG - Res 49",IF($B26="OUTROS","DIREÇÃO",""))))))+((IFERROR(INDEX(ApoioA,MATCH($B26,ApoioB,0)),IF(COUNTIF(ApoioA,$B26)&gt;0,$B26,IF($B26="RESOLUÇÃO 049/2022-CONSUNI/CPPGEC","CAPPG - Res 49",IF($B26="OUTROS","DIREÇÃO","")))))="DIREÇÃO")*(LEFT(ApoioA,9)="DIREÇÃO -"))&gt;0))+(--(ApoioA="PPGEL +")*(((IFERROR(INDEX(ApoioA,MATCH($B26,ApoioB,0)),IF(COUNTIF(ApoioA,$B26)&gt;0,$B26,IF($B26="RESOLUÇÃO 049/2022-CONSUNI/CPPGEC","CAPPG - Res 49",IF($B26="OUTROS","DIREÇÃO","")))))="PPGE")*ApoioJ+((IFERROR(INDEX(ApoioA,MATCH($B26,ApoioB,0)),IF(COUNTIF(ApoioA,$B26)&gt;0,$B26,IF($B26="RESOLUÇÃO 049/2022-CONSUNI/CPPGEC","CAPPG - Res 49",IF($B26="OUTROS","DIREÇÃO","")))))="PPGEL")*ApoioK+((IFERROR(INDEX(ApoioA,MATCH($B26,ApoioB,0)),IF(COUNTIF(ApoioA,$B26)&gt;0,$B26,IF($B26="RESOLUÇÃO 049/2022-CONSUNI/CPPGEC","CAPPG - Res 49",IF($B26="OUTROS","DIREÇÃO","")))))="PPGH/PPGDH")*ApoioL)),(SUMIFS(ViagensK,ViagensM,ApoioA,ViagensC,"&lt;&gt;Cancelada")+SUMIFS(ViagensK,ViagensM,ApoioA,ViagensC,"Cancelada",ViagensN,"Sim"))))</f>
        <v/>
      </c>
      <c r="G26" s="89">
        <f>IF(AND(ISNUMBER(E26),ISNUMBER(F26)),E26-F26,"Pendente")</f>
        <v/>
      </c>
      <c r="H26" s="70" t="n"/>
      <c r="I26" s="88">
        <f>IF(SUMPRODUCT((--(ApoioA&lt;&gt;"")*--(((ApoioA=(IFERROR(INDEX(ApoioA,MATCH($B26,ApoioB,0)),IF(COUNTIF(ApoioA,$B26)&gt;0,$B26,IF($B26="RESOLUÇÃO 049/2022-CONSUNI/CPPGEC","CAPPG - Res 49",IF($B26="OUTROS","DIREÇÃO",""))))))+((IFERROR(INDEX(ApoioA,MATCH($B26,ApoioB,0)),IF(COUNTIF(ApoioA,$B26)&gt;0,$B26,IF($B26="RESOLUÇÃO 049/2022-CONSUNI/CPPGEC","CAPPG - Res 49",IF($B26="OUTROS","DIREÇÃO","")))))="DIREÇÃO")*(LEFT(ApoioA,9)="DIREÇÃO -"))&gt;0))+(--(ApoioA="PPGEL +")*(((IFERROR(INDEX(ApoioA,MATCH($B26,ApoioB,0)),IF(COUNTIF(ApoioA,$B26)&gt;0,$B26,IF($B26="RESOLUÇÃO 049/2022-CONSUNI/CPPGEC","CAPPG - Res 49",IF($B26="OUTROS","DIREÇÃO","")))))="PPGE")*ApoioJ+((IFERROR(INDEX(ApoioA,MATCH($B26,ApoioB,0)),IF(COUNTIF(ApoioA,$B26)&gt;0,$B26,IF($B26="RESOLUÇÃO 049/2022-CONSUNI/CPPGEC","CAPPG - Res 49",IF($B26="OUTROS","DIREÇÃO","")))))="PPGEL")*ApoioK+((IFERROR(INDEX(ApoioA,MATCH($B26,ApoioB,0)),IF(COUNTIF(ApoioA,$B26)&gt;0,$B26,IF($B26="RESOLUÇÃO 049/2022-CONSUNI/CPPGEC","CAPPG - Res 49",IF($B26="OUTROS","DIREÇÃO","")))))="PPGH/PPGDH")*ApoioL)),--ISNUMBER(ApoioE))=0,"Pendente",SUMPRODUCT((--(ApoioA&lt;&gt;"")*--(((ApoioA=(IFERROR(INDEX(ApoioA,MATCH($B26,ApoioB,0)),IF(COUNTIF(ApoioA,$B26)&gt;0,$B26,IF($B26="RESOLUÇÃO 049/2022-CONSUNI/CPPGEC","CAPPG - Res 49",IF($B26="OUTROS","DIREÇÃO",""))))))+((IFERROR(INDEX(ApoioA,MATCH($B26,ApoioB,0)),IF(COUNTIF(ApoioA,$B26)&gt;0,$B26,IF($B26="RESOLUÇÃO 049/2022-CONSUNI/CPPGEC","CAPPG - Res 49",IF($B26="OUTROS","DIREÇÃO","")))))="DIREÇÃO")*(LEFT(ApoioA,9)="DIREÇÃO -"))&gt;0))+(--(ApoioA="PPGEL +")*(((IFERROR(INDEX(ApoioA,MATCH($B26,ApoioB,0)),IF(COUNTIF(ApoioA,$B26)&gt;0,$B26,IF($B26="RESOLUÇÃO 049/2022-CONSUNI/CPPGEC","CAPPG - Res 49",IF($B26="OUTROS","DIREÇÃO","")))))="PPGE")*ApoioJ+((IFERROR(INDEX(ApoioA,MATCH($B26,ApoioB,0)),IF(COUNTIF(ApoioA,$B26)&gt;0,$B26,IF($B26="RESOLUÇÃO 049/2022-CONSUNI/CPPGEC","CAPPG - Res 49",IF($B26="OUTROS","DIREÇÃO","")))))="PPGEL")*ApoioK+((IFERROR(INDEX(ApoioA,MATCH($B26,ApoioB,0)),IF(COUNTIF(ApoioA,$B26)&gt;0,$B26,IF($B26="RESOLUÇÃO 049/2022-CONSUNI/CPPGEC","CAPPG - Res 49",IF($B26="OUTROS","DIREÇÃO","")))))="PPGH/PPGDH")*ApoioL)),ApoioE))</f>
        <v/>
      </c>
      <c r="J26" s="89">
        <f>IF(SUMPRODUCT((--(ApoioA&lt;&gt;"")*--(((ApoioA=(IFERROR(INDEX(ApoioA,MATCH($B26,ApoioB,0)),IF(COUNTIF(ApoioA,$B26)&gt;0,$B26,IF($B26="RESOLUÇÃO 049/2022-CONSUNI/CPPGEC","CAPPG - Res 49",IF($B26="OUTROS","DIREÇÃO",""))))))+((IFERROR(INDEX(ApoioA,MATCH($B26,ApoioB,0)),IF(COUNTIF(ApoioA,$B26)&gt;0,$B26,IF($B26="RESOLUÇÃO 049/2022-CONSUNI/CPPGEC","CAPPG - Res 49",IF($B26="OUTROS","DIREÇÃO","")))))="DIREÇÃO")*(LEFT(ApoioA,9)="DIREÇÃO -"))&gt;0))+(--(ApoioA="PPGEL +")*(((IFERROR(INDEX(ApoioA,MATCH($B26,ApoioB,0)),IF(COUNTIF(ApoioA,$B26)&gt;0,$B26,IF($B26="RESOLUÇÃO 049/2022-CONSUNI/CPPGEC","CAPPG - Res 49",IF($B26="OUTROS","DIREÇÃO","")))))="PPGE")*ApoioJ+((IFERROR(INDEX(ApoioA,MATCH($B26,ApoioB,0)),IF(COUNTIF(ApoioA,$B26)&gt;0,$B26,IF($B26="RESOLUÇÃO 049/2022-CONSUNI/CPPGEC","CAPPG - Res 49",IF($B26="OUTROS","DIREÇÃO","")))))="PPGEL")*ApoioK+((IFERROR(INDEX(ApoioA,MATCH($B26,ApoioB,0)),IF(COUNTIF(ApoioA,$B26)&gt;0,$B26,IF($B26="RESOLUÇÃO 049/2022-CONSUNI/CPPGEC","CAPPG - Res 49",IF($B26="OUTROS","DIREÇÃO","")))))="PPGH/PPGDH")*ApoioL)),--ISNUMBER(ApoioG))=0,"Pendente",SUMPRODUCT((--(ApoioA&lt;&gt;"")*--(((ApoioA=(IFERROR(INDEX(ApoioA,MATCH($B26,ApoioB,0)),IF(COUNTIF(ApoioA,$B26)&gt;0,$B26,IF($B26="RESOLUÇÃO 049/2022-CONSUNI/CPPGEC","CAPPG - Res 49",IF($B26="OUTROS","DIREÇÃO",""))))))+((IFERROR(INDEX(ApoioA,MATCH($B26,ApoioB,0)),IF(COUNTIF(ApoioA,$B26)&gt;0,$B26,IF($B26="RESOLUÇÃO 049/2022-CONSUNI/CPPGEC","CAPPG - Res 49",IF($B26="OUTROS","DIREÇÃO","")))))="DIREÇÃO")*(LEFT(ApoioA,9)="DIREÇÃO -"))&gt;0))+(--(ApoioA="PPGEL +")*(((IFERROR(INDEX(ApoioA,MATCH($B26,ApoioB,0)),IF(COUNTIF(ApoioA,$B26)&gt;0,$B26,IF($B26="RESOLUÇÃO 049/2022-CONSUNI/CPPGEC","CAPPG - Res 49",IF($B26="OUTROS","DIREÇÃO","")))))="PPGE")*ApoioJ+((IFERROR(INDEX(ApoioA,MATCH($B26,ApoioB,0)),IF(COUNTIF(ApoioA,$B26)&gt;0,$B26,IF($B26="RESOLUÇÃO 049/2022-CONSUNI/CPPGEC","CAPPG - Res 49",IF($B26="OUTROS","DIREÇÃO","")))))="PPGEL")*ApoioK+((IFERROR(INDEX(ApoioA,MATCH($B26,ApoioB,0)),IF(COUNTIF(ApoioA,$B26)&gt;0,$B26,IF($B26="RESOLUÇÃO 049/2022-CONSUNI/CPPGEC","CAPPG - Res 49",IF($B26="OUTROS","DIREÇÃO","")))))="PPGH/PPGDH")*ApoioL)),ApoioG))</f>
        <v/>
      </c>
      <c r="K26" s="89">
        <f>IF(AND(ISNUMBER(I26),ISNUMBER(J26)),I26-J26,"Pendente")</f>
        <v/>
      </c>
      <c r="L26" s="70" t="n"/>
      <c r="M26" s="89">
        <f>IF(AND(ISNUMBER(G26),ISNUMBER(K26)),G26+K26,"Pendente")</f>
        <v/>
      </c>
      <c r="O26" s="67" t="inlineStr">
        <is>
          <t>Grupo principal</t>
        </is>
      </c>
      <c r="P26" s="67">
        <f>B26</f>
        <v/>
      </c>
    </row>
    <row r="27" ht="15" customHeight="1" s="61">
      <c r="A27" s="69" t="n"/>
      <c r="B27" s="87" t="inlineStr">
        <is>
          <t>Mestrado em Educação</t>
        </is>
      </c>
      <c r="C27" s="88">
        <f>IF(AND(ISNUMBER(E27),ISNUMBER(I27)),E27+I27,"Pendente")</f>
        <v/>
      </c>
      <c r="D27" s="70" t="n"/>
      <c r="E27" s="88">
        <f>IF(SUMPRODUCT((--(ApoioA&lt;&gt;"")*--(((ApoioA=(IFERROR(INDEX(ApoioA,MATCH($B27,ApoioB,0)),IF(COUNTIF(ApoioA,$B27)&gt;0,$B27,IF($B27="RESOLUÇÃO 049/2022-CONSUNI/CPPGEC","CAPPG - Res 49",IF($B27="OUTROS","DIREÇÃO",""))))))+((IFERROR(INDEX(ApoioA,MATCH($B27,ApoioB,0)),IF(COUNTIF(ApoioA,$B27)&gt;0,$B27,IF($B27="RESOLUÇÃO 049/2022-CONSUNI/CPPGEC","CAPPG - Res 49",IF($B27="OUTROS","DIREÇÃO","")))))="DIREÇÃO")*(LEFT(ApoioA,9)="DIREÇÃO -"))&gt;0))+(--(ApoioA="PPGEL +")*(((IFERROR(INDEX(ApoioA,MATCH($B27,ApoioB,0)),IF(COUNTIF(ApoioA,$B27)&gt;0,$B27,IF($B27="RESOLUÇÃO 049/2022-CONSUNI/CPPGEC","CAPPG - Res 49",IF($B27="OUTROS","DIREÇÃO","")))))="PPGE")*ApoioJ+((IFERROR(INDEX(ApoioA,MATCH($B27,ApoioB,0)),IF(COUNTIF(ApoioA,$B27)&gt;0,$B27,IF($B27="RESOLUÇÃO 049/2022-CONSUNI/CPPGEC","CAPPG - Res 49",IF($B27="OUTROS","DIREÇÃO","")))))="PPGEL")*ApoioK+((IFERROR(INDEX(ApoioA,MATCH($B27,ApoioB,0)),IF(COUNTIF(ApoioA,$B27)&gt;0,$B27,IF($B27="RESOLUÇÃO 049/2022-CONSUNI/CPPGEC","CAPPG - Res 49",IF($B27="OUTROS","DIREÇÃO","")))))="PPGH/PPGDH")*ApoioL)),--ISNUMBER(ApoioD))=0,"Pendente",SUMPRODUCT((--(ApoioA&lt;&gt;"")*--(((ApoioA=(IFERROR(INDEX(ApoioA,MATCH($B27,ApoioB,0)),IF(COUNTIF(ApoioA,$B27)&gt;0,$B27,IF($B27="RESOLUÇÃO 049/2022-CONSUNI/CPPGEC","CAPPG - Res 49",IF($B27="OUTROS","DIREÇÃO",""))))))+((IFERROR(INDEX(ApoioA,MATCH($B27,ApoioB,0)),IF(COUNTIF(ApoioA,$B27)&gt;0,$B27,IF($B27="RESOLUÇÃO 049/2022-CONSUNI/CPPGEC","CAPPG - Res 49",IF($B27="OUTROS","DIREÇÃO","")))))="DIREÇÃO")*(LEFT(ApoioA,9)="DIREÇÃO -"))&gt;0))+(--(ApoioA="PPGEL +")*(((IFERROR(INDEX(ApoioA,MATCH($B27,ApoioB,0)),IF(COUNTIF(ApoioA,$B27)&gt;0,$B27,IF($B27="RESOLUÇÃO 049/2022-CONSUNI/CPPGEC","CAPPG - Res 49",IF($B27="OUTROS","DIREÇÃO","")))))="PPGE")*ApoioJ+((IFERROR(INDEX(ApoioA,MATCH($B27,ApoioB,0)),IF(COUNTIF(ApoioA,$B27)&gt;0,$B27,IF($B27="RESOLUÇÃO 049/2022-CONSUNI/CPPGEC","CAPPG - Res 49",IF($B27="OUTROS","DIREÇÃO","")))))="PPGEL")*ApoioK+((IFERROR(INDEX(ApoioA,MATCH($B27,ApoioB,0)),IF(COUNTIF(ApoioA,$B27)&gt;0,$B27,IF($B27="RESOLUÇÃO 049/2022-CONSUNI/CPPGEC","CAPPG - Res 49",IF($B27="OUTROS","DIREÇÃO","")))))="PPGH/PPGDH")*ApoioL)),ApoioD))</f>
        <v/>
      </c>
      <c r="F27" s="89">
        <f>IF(SUMPRODUCT((--(ApoioA&lt;&gt;"")*--(((ApoioA=(IFERROR(INDEX(ApoioA,MATCH($B27,ApoioB,0)),IF(COUNTIF(ApoioA,$B27)&gt;0,$B27,IF($B27="RESOLUÇÃO 049/2022-CONSUNI/CPPGEC","CAPPG - Res 49",IF($B27="OUTROS","DIREÇÃO",""))))))+((IFERROR(INDEX(ApoioA,MATCH($B27,ApoioB,0)),IF(COUNTIF(ApoioA,$B27)&gt;0,$B27,IF($B27="RESOLUÇÃO 049/2022-CONSUNI/CPPGEC","CAPPG - Res 49",IF($B27="OUTROS","DIREÇÃO","")))))="DIREÇÃO")*(LEFT(ApoioA,9)="DIREÇÃO -"))&gt;0))+(--(ApoioA="PPGEL +")*(((IFERROR(INDEX(ApoioA,MATCH($B27,ApoioB,0)),IF(COUNTIF(ApoioA,$B27)&gt;0,$B27,IF($B27="RESOLUÇÃO 049/2022-CONSUNI/CPPGEC","CAPPG - Res 49",IF($B27="OUTROS","DIREÇÃO","")))))="PPGE")*ApoioJ+((IFERROR(INDEX(ApoioA,MATCH($B27,ApoioB,0)),IF(COUNTIF(ApoioA,$B27)&gt;0,$B27,IF($B27="RESOLUÇÃO 049/2022-CONSUNI/CPPGEC","CAPPG - Res 49",IF($B27="OUTROS","DIREÇÃO","")))))="PPGEL")*ApoioK+((IFERROR(INDEX(ApoioA,MATCH($B27,ApoioB,0)),IF(COUNTIF(ApoioA,$B27)&gt;0,$B27,IF($B27="RESOLUÇÃO 049/2022-CONSUNI/CPPGEC","CAPPG - Res 49",IF($B27="OUTROS","DIREÇÃO","")))))="PPGH/PPGDH")*ApoioL)),COUNTIFS(ViagensM,ApoioA,ViagensC,"Cancelada",ViagensN,""))&gt;0,"Pendente",SUMPRODUCT((--(ApoioA&lt;&gt;"")*--(((ApoioA=(IFERROR(INDEX(ApoioA,MATCH($B27,ApoioB,0)),IF(COUNTIF(ApoioA,$B27)&gt;0,$B27,IF($B27="RESOLUÇÃO 049/2022-CONSUNI/CPPGEC","CAPPG - Res 49",IF($B27="OUTROS","DIREÇÃO",""))))))+((IFERROR(INDEX(ApoioA,MATCH($B27,ApoioB,0)),IF(COUNTIF(ApoioA,$B27)&gt;0,$B27,IF($B27="RESOLUÇÃO 049/2022-CONSUNI/CPPGEC","CAPPG - Res 49",IF($B27="OUTROS","DIREÇÃO","")))))="DIREÇÃO")*(LEFT(ApoioA,9)="DIREÇÃO -"))&gt;0))+(--(ApoioA="PPGEL +")*(((IFERROR(INDEX(ApoioA,MATCH($B27,ApoioB,0)),IF(COUNTIF(ApoioA,$B27)&gt;0,$B27,IF($B27="RESOLUÇÃO 049/2022-CONSUNI/CPPGEC","CAPPG - Res 49",IF($B27="OUTROS","DIREÇÃO","")))))="PPGE")*ApoioJ+((IFERROR(INDEX(ApoioA,MATCH($B27,ApoioB,0)),IF(COUNTIF(ApoioA,$B27)&gt;0,$B27,IF($B27="RESOLUÇÃO 049/2022-CONSUNI/CPPGEC","CAPPG - Res 49",IF($B27="OUTROS","DIREÇÃO","")))))="PPGEL")*ApoioK+((IFERROR(INDEX(ApoioA,MATCH($B27,ApoioB,0)),IF(COUNTIF(ApoioA,$B27)&gt;0,$B27,IF($B27="RESOLUÇÃO 049/2022-CONSUNI/CPPGEC","CAPPG - Res 49",IF($B27="OUTROS","DIREÇÃO","")))))="PPGH/PPGDH")*ApoioL)),(SUMIFS(ViagensK,ViagensM,ApoioA,ViagensC,"&lt;&gt;Cancelada")+SUMIFS(ViagensK,ViagensM,ApoioA,ViagensC,"Cancelada",ViagensN,"Sim"))))</f>
        <v/>
      </c>
      <c r="G27" s="89">
        <f>IF(AND(ISNUMBER(E27),ISNUMBER(F27)),E27-F27,"Pendente")</f>
        <v/>
      </c>
      <c r="H27" s="70" t="n"/>
      <c r="I27" s="88">
        <f>IF(SUMPRODUCT((--(ApoioA&lt;&gt;"")*--(((ApoioA=(IFERROR(INDEX(ApoioA,MATCH($B27,ApoioB,0)),IF(COUNTIF(ApoioA,$B27)&gt;0,$B27,IF($B27="RESOLUÇÃO 049/2022-CONSUNI/CPPGEC","CAPPG - Res 49",IF($B27="OUTROS","DIREÇÃO",""))))))+((IFERROR(INDEX(ApoioA,MATCH($B27,ApoioB,0)),IF(COUNTIF(ApoioA,$B27)&gt;0,$B27,IF($B27="RESOLUÇÃO 049/2022-CONSUNI/CPPGEC","CAPPG - Res 49",IF($B27="OUTROS","DIREÇÃO","")))))="DIREÇÃO")*(LEFT(ApoioA,9)="DIREÇÃO -"))&gt;0))+(--(ApoioA="PPGEL +")*(((IFERROR(INDEX(ApoioA,MATCH($B27,ApoioB,0)),IF(COUNTIF(ApoioA,$B27)&gt;0,$B27,IF($B27="RESOLUÇÃO 049/2022-CONSUNI/CPPGEC","CAPPG - Res 49",IF($B27="OUTROS","DIREÇÃO","")))))="PPGE")*ApoioJ+((IFERROR(INDEX(ApoioA,MATCH($B27,ApoioB,0)),IF(COUNTIF(ApoioA,$B27)&gt;0,$B27,IF($B27="RESOLUÇÃO 049/2022-CONSUNI/CPPGEC","CAPPG - Res 49",IF($B27="OUTROS","DIREÇÃO","")))))="PPGEL")*ApoioK+((IFERROR(INDEX(ApoioA,MATCH($B27,ApoioB,0)),IF(COUNTIF(ApoioA,$B27)&gt;0,$B27,IF($B27="RESOLUÇÃO 049/2022-CONSUNI/CPPGEC","CAPPG - Res 49",IF($B27="OUTROS","DIREÇÃO","")))))="PPGH/PPGDH")*ApoioL)),--ISNUMBER(ApoioE))=0,"Pendente",SUMPRODUCT((--(ApoioA&lt;&gt;"")*--(((ApoioA=(IFERROR(INDEX(ApoioA,MATCH($B27,ApoioB,0)),IF(COUNTIF(ApoioA,$B27)&gt;0,$B27,IF($B27="RESOLUÇÃO 049/2022-CONSUNI/CPPGEC","CAPPG - Res 49",IF($B27="OUTROS","DIREÇÃO",""))))))+((IFERROR(INDEX(ApoioA,MATCH($B27,ApoioB,0)),IF(COUNTIF(ApoioA,$B27)&gt;0,$B27,IF($B27="RESOLUÇÃO 049/2022-CONSUNI/CPPGEC","CAPPG - Res 49",IF($B27="OUTROS","DIREÇÃO","")))))="DIREÇÃO")*(LEFT(ApoioA,9)="DIREÇÃO -"))&gt;0))+(--(ApoioA="PPGEL +")*(((IFERROR(INDEX(ApoioA,MATCH($B27,ApoioB,0)),IF(COUNTIF(ApoioA,$B27)&gt;0,$B27,IF($B27="RESOLUÇÃO 049/2022-CONSUNI/CPPGEC","CAPPG - Res 49",IF($B27="OUTROS","DIREÇÃO","")))))="PPGE")*ApoioJ+((IFERROR(INDEX(ApoioA,MATCH($B27,ApoioB,0)),IF(COUNTIF(ApoioA,$B27)&gt;0,$B27,IF($B27="RESOLUÇÃO 049/2022-CONSUNI/CPPGEC","CAPPG - Res 49",IF($B27="OUTROS","DIREÇÃO","")))))="PPGEL")*ApoioK+((IFERROR(INDEX(ApoioA,MATCH($B27,ApoioB,0)),IF(COUNTIF(ApoioA,$B27)&gt;0,$B27,IF($B27="RESOLUÇÃO 049/2022-CONSUNI/CPPGEC","CAPPG - Res 49",IF($B27="OUTROS","DIREÇÃO","")))))="PPGH/PPGDH")*ApoioL)),ApoioE))</f>
        <v/>
      </c>
      <c r="J27" s="89">
        <f>IF(SUMPRODUCT((--(ApoioA&lt;&gt;"")*--(((ApoioA=(IFERROR(INDEX(ApoioA,MATCH($B27,ApoioB,0)),IF(COUNTIF(ApoioA,$B27)&gt;0,$B27,IF($B27="RESOLUÇÃO 049/2022-CONSUNI/CPPGEC","CAPPG - Res 49",IF($B27="OUTROS","DIREÇÃO",""))))))+((IFERROR(INDEX(ApoioA,MATCH($B27,ApoioB,0)),IF(COUNTIF(ApoioA,$B27)&gt;0,$B27,IF($B27="RESOLUÇÃO 049/2022-CONSUNI/CPPGEC","CAPPG - Res 49",IF($B27="OUTROS","DIREÇÃO","")))))="DIREÇÃO")*(LEFT(ApoioA,9)="DIREÇÃO -"))&gt;0))+(--(ApoioA="PPGEL +")*(((IFERROR(INDEX(ApoioA,MATCH($B27,ApoioB,0)),IF(COUNTIF(ApoioA,$B27)&gt;0,$B27,IF($B27="RESOLUÇÃO 049/2022-CONSUNI/CPPGEC","CAPPG - Res 49",IF($B27="OUTROS","DIREÇÃO","")))))="PPGE")*ApoioJ+((IFERROR(INDEX(ApoioA,MATCH($B27,ApoioB,0)),IF(COUNTIF(ApoioA,$B27)&gt;0,$B27,IF($B27="RESOLUÇÃO 049/2022-CONSUNI/CPPGEC","CAPPG - Res 49",IF($B27="OUTROS","DIREÇÃO","")))))="PPGEL")*ApoioK+((IFERROR(INDEX(ApoioA,MATCH($B27,ApoioB,0)),IF(COUNTIF(ApoioA,$B27)&gt;0,$B27,IF($B27="RESOLUÇÃO 049/2022-CONSUNI/CPPGEC","CAPPG - Res 49",IF($B27="OUTROS","DIREÇÃO","")))))="PPGH/PPGDH")*ApoioL)),--ISNUMBER(ApoioG))=0,"Pendente",SUMPRODUCT((--(ApoioA&lt;&gt;"")*--(((ApoioA=(IFERROR(INDEX(ApoioA,MATCH($B27,ApoioB,0)),IF(COUNTIF(ApoioA,$B27)&gt;0,$B27,IF($B27="RESOLUÇÃO 049/2022-CONSUNI/CPPGEC","CAPPG - Res 49",IF($B27="OUTROS","DIREÇÃO",""))))))+((IFERROR(INDEX(ApoioA,MATCH($B27,ApoioB,0)),IF(COUNTIF(ApoioA,$B27)&gt;0,$B27,IF($B27="RESOLUÇÃO 049/2022-CONSUNI/CPPGEC","CAPPG - Res 49",IF($B27="OUTROS","DIREÇÃO","")))))="DIREÇÃO")*(LEFT(ApoioA,9)="DIREÇÃO -"))&gt;0))+(--(ApoioA="PPGEL +")*(((IFERROR(INDEX(ApoioA,MATCH($B27,ApoioB,0)),IF(COUNTIF(ApoioA,$B27)&gt;0,$B27,IF($B27="RESOLUÇÃO 049/2022-CONSUNI/CPPGEC","CAPPG - Res 49",IF($B27="OUTROS","DIREÇÃO","")))))="PPGE")*ApoioJ+((IFERROR(INDEX(ApoioA,MATCH($B27,ApoioB,0)),IF(COUNTIF(ApoioA,$B27)&gt;0,$B27,IF($B27="RESOLUÇÃO 049/2022-CONSUNI/CPPGEC","CAPPG - Res 49",IF($B27="OUTROS","DIREÇÃO","")))))="PPGEL")*ApoioK+((IFERROR(INDEX(ApoioA,MATCH($B27,ApoioB,0)),IF(COUNTIF(ApoioA,$B27)&gt;0,$B27,IF($B27="RESOLUÇÃO 049/2022-CONSUNI/CPPGEC","CAPPG - Res 49",IF($B27="OUTROS","DIREÇÃO","")))))="PPGH/PPGDH")*ApoioL)),ApoioG))</f>
        <v/>
      </c>
      <c r="K27" s="89">
        <f>IF(AND(ISNUMBER(I27),ISNUMBER(J27)),I27-J27,"Pendente")</f>
        <v/>
      </c>
      <c r="L27" s="70" t="n"/>
      <c r="M27" s="89">
        <f>IF(AND(ISNUMBER(G27),ISNUMBER(K27)),G27+K27,"Pendente")</f>
        <v/>
      </c>
      <c r="O27" s="67" t="inlineStr">
        <is>
          <t>Grupo principal</t>
        </is>
      </c>
      <c r="P27" s="67">
        <f>B27</f>
        <v/>
      </c>
    </row>
    <row r="28" ht="15" customHeight="1" s="61">
      <c r="A28" s="69" t="n"/>
      <c r="B28" s="87" t="inlineStr">
        <is>
          <t>Estudos Linguísticos – Mestrado e Doutorado</t>
        </is>
      </c>
      <c r="C28" s="88">
        <f>IF(AND(ISNUMBER(E28),ISNUMBER(I28)),E28+I28,"Pendente")</f>
        <v/>
      </c>
      <c r="D28" s="70" t="n"/>
      <c r="E28" s="88">
        <f>IF(SUMPRODUCT((--(ApoioA&lt;&gt;"")*--(((ApoioA=(IFERROR(INDEX(ApoioA,MATCH($B28,ApoioB,0)),IF(COUNTIF(ApoioA,$B28)&gt;0,$B28,IF($B28="RESOLUÇÃO 049/2022-CONSUNI/CPPGEC","CAPPG - Res 49",IF($B28="OUTROS","DIREÇÃO",""))))))+((IFERROR(INDEX(ApoioA,MATCH($B28,ApoioB,0)),IF(COUNTIF(ApoioA,$B28)&gt;0,$B28,IF($B28="RESOLUÇÃO 049/2022-CONSUNI/CPPGEC","CAPPG - Res 49",IF($B28="OUTROS","DIREÇÃO","")))))="DIREÇÃO")*(LEFT(ApoioA,9)="DIREÇÃO -"))&gt;0))+(--(ApoioA="PPGEL +")*(((IFERROR(INDEX(ApoioA,MATCH($B28,ApoioB,0)),IF(COUNTIF(ApoioA,$B28)&gt;0,$B28,IF($B28="RESOLUÇÃO 049/2022-CONSUNI/CPPGEC","CAPPG - Res 49",IF($B28="OUTROS","DIREÇÃO","")))))="PPGE")*ApoioJ+((IFERROR(INDEX(ApoioA,MATCH($B28,ApoioB,0)),IF(COUNTIF(ApoioA,$B28)&gt;0,$B28,IF($B28="RESOLUÇÃO 049/2022-CONSUNI/CPPGEC","CAPPG - Res 49",IF($B28="OUTROS","DIREÇÃO","")))))="PPGEL")*ApoioK+((IFERROR(INDEX(ApoioA,MATCH($B28,ApoioB,0)),IF(COUNTIF(ApoioA,$B28)&gt;0,$B28,IF($B28="RESOLUÇÃO 049/2022-CONSUNI/CPPGEC","CAPPG - Res 49",IF($B28="OUTROS","DIREÇÃO","")))))="PPGH/PPGDH")*ApoioL)),--ISNUMBER(ApoioD))=0,"Pendente",SUMPRODUCT((--(ApoioA&lt;&gt;"")*--(((ApoioA=(IFERROR(INDEX(ApoioA,MATCH($B28,ApoioB,0)),IF(COUNTIF(ApoioA,$B28)&gt;0,$B28,IF($B28="RESOLUÇÃO 049/2022-CONSUNI/CPPGEC","CAPPG - Res 49",IF($B28="OUTROS","DIREÇÃO",""))))))+((IFERROR(INDEX(ApoioA,MATCH($B28,ApoioB,0)),IF(COUNTIF(ApoioA,$B28)&gt;0,$B28,IF($B28="RESOLUÇÃO 049/2022-CONSUNI/CPPGEC","CAPPG - Res 49",IF($B28="OUTROS","DIREÇÃO","")))))="DIREÇÃO")*(LEFT(ApoioA,9)="DIREÇÃO -"))&gt;0))+(--(ApoioA="PPGEL +")*(((IFERROR(INDEX(ApoioA,MATCH($B28,ApoioB,0)),IF(COUNTIF(ApoioA,$B28)&gt;0,$B28,IF($B28="RESOLUÇÃO 049/2022-CONSUNI/CPPGEC","CAPPG - Res 49",IF($B28="OUTROS","DIREÇÃO","")))))="PPGE")*ApoioJ+((IFERROR(INDEX(ApoioA,MATCH($B28,ApoioB,0)),IF(COUNTIF(ApoioA,$B28)&gt;0,$B28,IF($B28="RESOLUÇÃO 049/2022-CONSUNI/CPPGEC","CAPPG - Res 49",IF($B28="OUTROS","DIREÇÃO","")))))="PPGEL")*ApoioK+((IFERROR(INDEX(ApoioA,MATCH($B28,ApoioB,0)),IF(COUNTIF(ApoioA,$B28)&gt;0,$B28,IF($B28="RESOLUÇÃO 049/2022-CONSUNI/CPPGEC","CAPPG - Res 49",IF($B28="OUTROS","DIREÇÃO","")))))="PPGH/PPGDH")*ApoioL)),ApoioD))</f>
        <v/>
      </c>
      <c r="F28" s="89">
        <f>IF(SUMPRODUCT((--(ApoioA&lt;&gt;"")*--(((ApoioA=(IFERROR(INDEX(ApoioA,MATCH($B28,ApoioB,0)),IF(COUNTIF(ApoioA,$B28)&gt;0,$B28,IF($B28="RESOLUÇÃO 049/2022-CONSUNI/CPPGEC","CAPPG - Res 49",IF($B28="OUTROS","DIREÇÃO",""))))))+((IFERROR(INDEX(ApoioA,MATCH($B28,ApoioB,0)),IF(COUNTIF(ApoioA,$B28)&gt;0,$B28,IF($B28="RESOLUÇÃO 049/2022-CONSUNI/CPPGEC","CAPPG - Res 49",IF($B28="OUTROS","DIREÇÃO","")))))="DIREÇÃO")*(LEFT(ApoioA,9)="DIREÇÃO -"))&gt;0))+(--(ApoioA="PPGEL +")*(((IFERROR(INDEX(ApoioA,MATCH($B28,ApoioB,0)),IF(COUNTIF(ApoioA,$B28)&gt;0,$B28,IF($B28="RESOLUÇÃO 049/2022-CONSUNI/CPPGEC","CAPPG - Res 49",IF($B28="OUTROS","DIREÇÃO","")))))="PPGE")*ApoioJ+((IFERROR(INDEX(ApoioA,MATCH($B28,ApoioB,0)),IF(COUNTIF(ApoioA,$B28)&gt;0,$B28,IF($B28="RESOLUÇÃO 049/2022-CONSUNI/CPPGEC","CAPPG - Res 49",IF($B28="OUTROS","DIREÇÃO","")))))="PPGEL")*ApoioK+((IFERROR(INDEX(ApoioA,MATCH($B28,ApoioB,0)),IF(COUNTIF(ApoioA,$B28)&gt;0,$B28,IF($B28="RESOLUÇÃO 049/2022-CONSUNI/CPPGEC","CAPPG - Res 49",IF($B28="OUTROS","DIREÇÃO","")))))="PPGH/PPGDH")*ApoioL)),COUNTIFS(ViagensM,ApoioA,ViagensC,"Cancelada",ViagensN,""))&gt;0,"Pendente",SUMPRODUCT((--(ApoioA&lt;&gt;"")*--(((ApoioA=(IFERROR(INDEX(ApoioA,MATCH($B28,ApoioB,0)),IF(COUNTIF(ApoioA,$B28)&gt;0,$B28,IF($B28="RESOLUÇÃO 049/2022-CONSUNI/CPPGEC","CAPPG - Res 49",IF($B28="OUTROS","DIREÇÃO",""))))))+((IFERROR(INDEX(ApoioA,MATCH($B28,ApoioB,0)),IF(COUNTIF(ApoioA,$B28)&gt;0,$B28,IF($B28="RESOLUÇÃO 049/2022-CONSUNI/CPPGEC","CAPPG - Res 49",IF($B28="OUTROS","DIREÇÃO","")))))="DIREÇÃO")*(LEFT(ApoioA,9)="DIREÇÃO -"))&gt;0))+(--(ApoioA="PPGEL +")*(((IFERROR(INDEX(ApoioA,MATCH($B28,ApoioB,0)),IF(COUNTIF(ApoioA,$B28)&gt;0,$B28,IF($B28="RESOLUÇÃO 049/2022-CONSUNI/CPPGEC","CAPPG - Res 49",IF($B28="OUTROS","DIREÇÃO","")))))="PPGE")*ApoioJ+((IFERROR(INDEX(ApoioA,MATCH($B28,ApoioB,0)),IF(COUNTIF(ApoioA,$B28)&gt;0,$B28,IF($B28="RESOLUÇÃO 049/2022-CONSUNI/CPPGEC","CAPPG - Res 49",IF($B28="OUTROS","DIREÇÃO","")))))="PPGEL")*ApoioK+((IFERROR(INDEX(ApoioA,MATCH($B28,ApoioB,0)),IF(COUNTIF(ApoioA,$B28)&gt;0,$B28,IF($B28="RESOLUÇÃO 049/2022-CONSUNI/CPPGEC","CAPPG - Res 49",IF($B28="OUTROS","DIREÇÃO","")))))="PPGH/PPGDH")*ApoioL)),(SUMIFS(ViagensK,ViagensM,ApoioA,ViagensC,"&lt;&gt;Cancelada")+SUMIFS(ViagensK,ViagensM,ApoioA,ViagensC,"Cancelada",ViagensN,"Sim"))))</f>
        <v/>
      </c>
      <c r="G28" s="89">
        <f>IF(AND(ISNUMBER(E28),ISNUMBER(F28)),E28-F28,"Pendente")</f>
        <v/>
      </c>
      <c r="H28" s="70" t="n"/>
      <c r="I28" s="88">
        <f>IF(SUMPRODUCT((--(ApoioA&lt;&gt;"")*--(((ApoioA=(IFERROR(INDEX(ApoioA,MATCH($B28,ApoioB,0)),IF(COUNTIF(ApoioA,$B28)&gt;0,$B28,IF($B28="RESOLUÇÃO 049/2022-CONSUNI/CPPGEC","CAPPG - Res 49",IF($B28="OUTROS","DIREÇÃO",""))))))+((IFERROR(INDEX(ApoioA,MATCH($B28,ApoioB,0)),IF(COUNTIF(ApoioA,$B28)&gt;0,$B28,IF($B28="RESOLUÇÃO 049/2022-CONSUNI/CPPGEC","CAPPG - Res 49",IF($B28="OUTROS","DIREÇÃO","")))))="DIREÇÃO")*(LEFT(ApoioA,9)="DIREÇÃO -"))&gt;0))+(--(ApoioA="PPGEL +")*(((IFERROR(INDEX(ApoioA,MATCH($B28,ApoioB,0)),IF(COUNTIF(ApoioA,$B28)&gt;0,$B28,IF($B28="RESOLUÇÃO 049/2022-CONSUNI/CPPGEC","CAPPG - Res 49",IF($B28="OUTROS","DIREÇÃO","")))))="PPGE")*ApoioJ+((IFERROR(INDEX(ApoioA,MATCH($B28,ApoioB,0)),IF(COUNTIF(ApoioA,$B28)&gt;0,$B28,IF($B28="RESOLUÇÃO 049/2022-CONSUNI/CPPGEC","CAPPG - Res 49",IF($B28="OUTROS","DIREÇÃO","")))))="PPGEL")*ApoioK+((IFERROR(INDEX(ApoioA,MATCH($B28,ApoioB,0)),IF(COUNTIF(ApoioA,$B28)&gt;0,$B28,IF($B28="RESOLUÇÃO 049/2022-CONSUNI/CPPGEC","CAPPG - Res 49",IF($B28="OUTROS","DIREÇÃO","")))))="PPGH/PPGDH")*ApoioL)),--ISNUMBER(ApoioE))=0,"Pendente",SUMPRODUCT((--(ApoioA&lt;&gt;"")*--(((ApoioA=(IFERROR(INDEX(ApoioA,MATCH($B28,ApoioB,0)),IF(COUNTIF(ApoioA,$B28)&gt;0,$B28,IF($B28="RESOLUÇÃO 049/2022-CONSUNI/CPPGEC","CAPPG - Res 49",IF($B28="OUTROS","DIREÇÃO",""))))))+((IFERROR(INDEX(ApoioA,MATCH($B28,ApoioB,0)),IF(COUNTIF(ApoioA,$B28)&gt;0,$B28,IF($B28="RESOLUÇÃO 049/2022-CONSUNI/CPPGEC","CAPPG - Res 49",IF($B28="OUTROS","DIREÇÃO","")))))="DIREÇÃO")*(LEFT(ApoioA,9)="DIREÇÃO -"))&gt;0))+(--(ApoioA="PPGEL +")*(((IFERROR(INDEX(ApoioA,MATCH($B28,ApoioB,0)),IF(COUNTIF(ApoioA,$B28)&gt;0,$B28,IF($B28="RESOLUÇÃO 049/2022-CONSUNI/CPPGEC","CAPPG - Res 49",IF($B28="OUTROS","DIREÇÃO","")))))="PPGE")*ApoioJ+((IFERROR(INDEX(ApoioA,MATCH($B28,ApoioB,0)),IF(COUNTIF(ApoioA,$B28)&gt;0,$B28,IF($B28="RESOLUÇÃO 049/2022-CONSUNI/CPPGEC","CAPPG - Res 49",IF($B28="OUTROS","DIREÇÃO","")))))="PPGEL")*ApoioK+((IFERROR(INDEX(ApoioA,MATCH($B28,ApoioB,0)),IF(COUNTIF(ApoioA,$B28)&gt;0,$B28,IF($B28="RESOLUÇÃO 049/2022-CONSUNI/CPPGEC","CAPPG - Res 49",IF($B28="OUTROS","DIREÇÃO","")))))="PPGH/PPGDH")*ApoioL)),ApoioE))</f>
        <v/>
      </c>
      <c r="J28" s="89">
        <f>IF(SUMPRODUCT((--(ApoioA&lt;&gt;"")*--(((ApoioA=(IFERROR(INDEX(ApoioA,MATCH($B28,ApoioB,0)),IF(COUNTIF(ApoioA,$B28)&gt;0,$B28,IF($B28="RESOLUÇÃO 049/2022-CONSUNI/CPPGEC","CAPPG - Res 49",IF($B28="OUTROS","DIREÇÃO",""))))))+((IFERROR(INDEX(ApoioA,MATCH($B28,ApoioB,0)),IF(COUNTIF(ApoioA,$B28)&gt;0,$B28,IF($B28="RESOLUÇÃO 049/2022-CONSUNI/CPPGEC","CAPPG - Res 49",IF($B28="OUTROS","DIREÇÃO","")))))="DIREÇÃO")*(LEFT(ApoioA,9)="DIREÇÃO -"))&gt;0))+(--(ApoioA="PPGEL +")*(((IFERROR(INDEX(ApoioA,MATCH($B28,ApoioB,0)),IF(COUNTIF(ApoioA,$B28)&gt;0,$B28,IF($B28="RESOLUÇÃO 049/2022-CONSUNI/CPPGEC","CAPPG - Res 49",IF($B28="OUTROS","DIREÇÃO","")))))="PPGE")*ApoioJ+((IFERROR(INDEX(ApoioA,MATCH($B28,ApoioB,0)),IF(COUNTIF(ApoioA,$B28)&gt;0,$B28,IF($B28="RESOLUÇÃO 049/2022-CONSUNI/CPPGEC","CAPPG - Res 49",IF($B28="OUTROS","DIREÇÃO","")))))="PPGEL")*ApoioK+((IFERROR(INDEX(ApoioA,MATCH($B28,ApoioB,0)),IF(COUNTIF(ApoioA,$B28)&gt;0,$B28,IF($B28="RESOLUÇÃO 049/2022-CONSUNI/CPPGEC","CAPPG - Res 49",IF($B28="OUTROS","DIREÇÃO","")))))="PPGH/PPGDH")*ApoioL)),--ISNUMBER(ApoioG))=0,"Pendente",SUMPRODUCT((--(ApoioA&lt;&gt;"")*--(((ApoioA=(IFERROR(INDEX(ApoioA,MATCH($B28,ApoioB,0)),IF(COUNTIF(ApoioA,$B28)&gt;0,$B28,IF($B28="RESOLUÇÃO 049/2022-CONSUNI/CPPGEC","CAPPG - Res 49",IF($B28="OUTROS","DIREÇÃO",""))))))+((IFERROR(INDEX(ApoioA,MATCH($B28,ApoioB,0)),IF(COUNTIF(ApoioA,$B28)&gt;0,$B28,IF($B28="RESOLUÇÃO 049/2022-CONSUNI/CPPGEC","CAPPG - Res 49",IF($B28="OUTROS","DIREÇÃO","")))))="DIREÇÃO")*(LEFT(ApoioA,9)="DIREÇÃO -"))&gt;0))+(--(ApoioA="PPGEL +")*(((IFERROR(INDEX(ApoioA,MATCH($B28,ApoioB,0)),IF(COUNTIF(ApoioA,$B28)&gt;0,$B28,IF($B28="RESOLUÇÃO 049/2022-CONSUNI/CPPGEC","CAPPG - Res 49",IF($B28="OUTROS","DIREÇÃO","")))))="PPGE")*ApoioJ+((IFERROR(INDEX(ApoioA,MATCH($B28,ApoioB,0)),IF(COUNTIF(ApoioA,$B28)&gt;0,$B28,IF($B28="RESOLUÇÃO 049/2022-CONSUNI/CPPGEC","CAPPG - Res 49",IF($B28="OUTROS","DIREÇÃO","")))))="PPGEL")*ApoioK+((IFERROR(INDEX(ApoioA,MATCH($B28,ApoioB,0)),IF(COUNTIF(ApoioA,$B28)&gt;0,$B28,IF($B28="RESOLUÇÃO 049/2022-CONSUNI/CPPGEC","CAPPG - Res 49",IF($B28="OUTROS","DIREÇÃO","")))))="PPGH/PPGDH")*ApoioL)),ApoioG))</f>
        <v/>
      </c>
      <c r="K28" s="89">
        <f>IF(AND(ISNUMBER(I28),ISNUMBER(J28)),I28-J28,"Pendente")</f>
        <v/>
      </c>
      <c r="L28" s="70" t="n"/>
      <c r="M28" s="89">
        <f>IF(AND(ISNUMBER(G28),ISNUMBER(K28)),G28+K28,"Pendente")</f>
        <v/>
      </c>
      <c r="O28" s="67" t="inlineStr">
        <is>
          <t>Grupo principal</t>
        </is>
      </c>
      <c r="P28" s="67">
        <f>B28</f>
        <v/>
      </c>
    </row>
    <row r="29" ht="15" customHeight="1" s="61">
      <c r="A29" s="69" t="n"/>
      <c r="B29" s="98" t="inlineStr">
        <is>
          <t>Mestrado em Enfermagem</t>
        </is>
      </c>
      <c r="C29" s="88">
        <f>IF(AND(ISNUMBER(E29),ISNUMBER(I29)),E29+I29,"Pendente")</f>
        <v/>
      </c>
      <c r="D29" s="70" t="n"/>
      <c r="E29" s="88">
        <f>IF(SUMPRODUCT((--(ApoioA&lt;&gt;"")*--(((ApoioA=(IFERROR(INDEX(ApoioA,MATCH($B29,ApoioB,0)),IF(COUNTIF(ApoioA,$B29)&gt;0,$B29,IF($B29="RESOLUÇÃO 049/2022-CONSUNI/CPPGEC","CAPPG - Res 49",IF($B29="OUTROS","DIREÇÃO",""))))))+((IFERROR(INDEX(ApoioA,MATCH($B29,ApoioB,0)),IF(COUNTIF(ApoioA,$B29)&gt;0,$B29,IF($B29="RESOLUÇÃO 049/2022-CONSUNI/CPPGEC","CAPPG - Res 49",IF($B29="OUTROS","DIREÇÃO","")))))="DIREÇÃO")*(LEFT(ApoioA,9)="DIREÇÃO -"))&gt;0))+(--(ApoioA="PPGEL +")*(((IFERROR(INDEX(ApoioA,MATCH($B29,ApoioB,0)),IF(COUNTIF(ApoioA,$B29)&gt;0,$B29,IF($B29="RESOLUÇÃO 049/2022-CONSUNI/CPPGEC","CAPPG - Res 49",IF($B29="OUTROS","DIREÇÃO","")))))="PPGE")*ApoioJ+((IFERROR(INDEX(ApoioA,MATCH($B29,ApoioB,0)),IF(COUNTIF(ApoioA,$B29)&gt;0,$B29,IF($B29="RESOLUÇÃO 049/2022-CONSUNI/CPPGEC","CAPPG - Res 49",IF($B29="OUTROS","DIREÇÃO","")))))="PPGEL")*ApoioK+((IFERROR(INDEX(ApoioA,MATCH($B29,ApoioB,0)),IF(COUNTIF(ApoioA,$B29)&gt;0,$B29,IF($B29="RESOLUÇÃO 049/2022-CONSUNI/CPPGEC","CAPPG - Res 49",IF($B29="OUTROS","DIREÇÃO","")))))="PPGH/PPGDH")*ApoioL)),--ISNUMBER(ApoioD))=0,"Pendente",SUMPRODUCT((--(ApoioA&lt;&gt;"")*--(((ApoioA=(IFERROR(INDEX(ApoioA,MATCH($B29,ApoioB,0)),IF(COUNTIF(ApoioA,$B29)&gt;0,$B29,IF($B29="RESOLUÇÃO 049/2022-CONSUNI/CPPGEC","CAPPG - Res 49",IF($B29="OUTROS","DIREÇÃO",""))))))+((IFERROR(INDEX(ApoioA,MATCH($B29,ApoioB,0)),IF(COUNTIF(ApoioA,$B29)&gt;0,$B29,IF($B29="RESOLUÇÃO 049/2022-CONSUNI/CPPGEC","CAPPG - Res 49",IF($B29="OUTROS","DIREÇÃO","")))))="DIREÇÃO")*(LEFT(ApoioA,9)="DIREÇÃO -"))&gt;0))+(--(ApoioA="PPGEL +")*(((IFERROR(INDEX(ApoioA,MATCH($B29,ApoioB,0)),IF(COUNTIF(ApoioA,$B29)&gt;0,$B29,IF($B29="RESOLUÇÃO 049/2022-CONSUNI/CPPGEC","CAPPG - Res 49",IF($B29="OUTROS","DIREÇÃO","")))))="PPGE")*ApoioJ+((IFERROR(INDEX(ApoioA,MATCH($B29,ApoioB,0)),IF(COUNTIF(ApoioA,$B29)&gt;0,$B29,IF($B29="RESOLUÇÃO 049/2022-CONSUNI/CPPGEC","CAPPG - Res 49",IF($B29="OUTROS","DIREÇÃO","")))))="PPGEL")*ApoioK+((IFERROR(INDEX(ApoioA,MATCH($B29,ApoioB,0)),IF(COUNTIF(ApoioA,$B29)&gt;0,$B29,IF($B29="RESOLUÇÃO 049/2022-CONSUNI/CPPGEC","CAPPG - Res 49",IF($B29="OUTROS","DIREÇÃO","")))))="PPGH/PPGDH")*ApoioL)),ApoioD))</f>
        <v/>
      </c>
      <c r="F29" s="89">
        <f>IF(SUMPRODUCT((--(ApoioA&lt;&gt;"")*--(((ApoioA=(IFERROR(INDEX(ApoioA,MATCH($B29,ApoioB,0)),IF(COUNTIF(ApoioA,$B29)&gt;0,$B29,IF($B29="RESOLUÇÃO 049/2022-CONSUNI/CPPGEC","CAPPG - Res 49",IF($B29="OUTROS","DIREÇÃO",""))))))+((IFERROR(INDEX(ApoioA,MATCH($B29,ApoioB,0)),IF(COUNTIF(ApoioA,$B29)&gt;0,$B29,IF($B29="RESOLUÇÃO 049/2022-CONSUNI/CPPGEC","CAPPG - Res 49",IF($B29="OUTROS","DIREÇÃO","")))))="DIREÇÃO")*(LEFT(ApoioA,9)="DIREÇÃO -"))&gt;0))+(--(ApoioA="PPGEL +")*(((IFERROR(INDEX(ApoioA,MATCH($B29,ApoioB,0)),IF(COUNTIF(ApoioA,$B29)&gt;0,$B29,IF($B29="RESOLUÇÃO 049/2022-CONSUNI/CPPGEC","CAPPG - Res 49",IF($B29="OUTROS","DIREÇÃO","")))))="PPGE")*ApoioJ+((IFERROR(INDEX(ApoioA,MATCH($B29,ApoioB,0)),IF(COUNTIF(ApoioA,$B29)&gt;0,$B29,IF($B29="RESOLUÇÃO 049/2022-CONSUNI/CPPGEC","CAPPG - Res 49",IF($B29="OUTROS","DIREÇÃO","")))))="PPGEL")*ApoioK+((IFERROR(INDEX(ApoioA,MATCH($B29,ApoioB,0)),IF(COUNTIF(ApoioA,$B29)&gt;0,$B29,IF($B29="RESOLUÇÃO 049/2022-CONSUNI/CPPGEC","CAPPG - Res 49",IF($B29="OUTROS","DIREÇÃO","")))))="PPGH/PPGDH")*ApoioL)),COUNTIFS(ViagensM,ApoioA,ViagensC,"Cancelada",ViagensN,""))&gt;0,"Pendente",SUMPRODUCT((--(ApoioA&lt;&gt;"")*--(((ApoioA=(IFERROR(INDEX(ApoioA,MATCH($B29,ApoioB,0)),IF(COUNTIF(ApoioA,$B29)&gt;0,$B29,IF($B29="RESOLUÇÃO 049/2022-CONSUNI/CPPGEC","CAPPG - Res 49",IF($B29="OUTROS","DIREÇÃO",""))))))+((IFERROR(INDEX(ApoioA,MATCH($B29,ApoioB,0)),IF(COUNTIF(ApoioA,$B29)&gt;0,$B29,IF($B29="RESOLUÇÃO 049/2022-CONSUNI/CPPGEC","CAPPG - Res 49",IF($B29="OUTROS","DIREÇÃO","")))))="DIREÇÃO")*(LEFT(ApoioA,9)="DIREÇÃO -"))&gt;0))+(--(ApoioA="PPGEL +")*(((IFERROR(INDEX(ApoioA,MATCH($B29,ApoioB,0)),IF(COUNTIF(ApoioA,$B29)&gt;0,$B29,IF($B29="RESOLUÇÃO 049/2022-CONSUNI/CPPGEC","CAPPG - Res 49",IF($B29="OUTROS","DIREÇÃO","")))))="PPGE")*ApoioJ+((IFERROR(INDEX(ApoioA,MATCH($B29,ApoioB,0)),IF(COUNTIF(ApoioA,$B29)&gt;0,$B29,IF($B29="RESOLUÇÃO 049/2022-CONSUNI/CPPGEC","CAPPG - Res 49",IF($B29="OUTROS","DIREÇÃO","")))))="PPGEL")*ApoioK+((IFERROR(INDEX(ApoioA,MATCH($B29,ApoioB,0)),IF(COUNTIF(ApoioA,$B29)&gt;0,$B29,IF($B29="RESOLUÇÃO 049/2022-CONSUNI/CPPGEC","CAPPG - Res 49",IF($B29="OUTROS","DIREÇÃO","")))))="PPGH/PPGDH")*ApoioL)),(SUMIFS(ViagensK,ViagensM,ApoioA,ViagensC,"&lt;&gt;Cancelada")+SUMIFS(ViagensK,ViagensM,ApoioA,ViagensC,"Cancelada",ViagensN,"Sim"))))</f>
        <v/>
      </c>
      <c r="G29" s="89">
        <f>IF(AND(ISNUMBER(E29),ISNUMBER(F29)),E29-F29,"Pendente")</f>
        <v/>
      </c>
      <c r="H29" s="70" t="n"/>
      <c r="I29" s="88">
        <f>IF(SUMPRODUCT((--(ApoioA&lt;&gt;"")*--(((ApoioA=(IFERROR(INDEX(ApoioA,MATCH($B29,ApoioB,0)),IF(COUNTIF(ApoioA,$B29)&gt;0,$B29,IF($B29="RESOLUÇÃO 049/2022-CONSUNI/CPPGEC","CAPPG - Res 49",IF($B29="OUTROS","DIREÇÃO",""))))))+((IFERROR(INDEX(ApoioA,MATCH($B29,ApoioB,0)),IF(COUNTIF(ApoioA,$B29)&gt;0,$B29,IF($B29="RESOLUÇÃO 049/2022-CONSUNI/CPPGEC","CAPPG - Res 49",IF($B29="OUTROS","DIREÇÃO","")))))="DIREÇÃO")*(LEFT(ApoioA,9)="DIREÇÃO -"))&gt;0))+(--(ApoioA="PPGEL +")*(((IFERROR(INDEX(ApoioA,MATCH($B29,ApoioB,0)),IF(COUNTIF(ApoioA,$B29)&gt;0,$B29,IF($B29="RESOLUÇÃO 049/2022-CONSUNI/CPPGEC","CAPPG - Res 49",IF($B29="OUTROS","DIREÇÃO","")))))="PPGE")*ApoioJ+((IFERROR(INDEX(ApoioA,MATCH($B29,ApoioB,0)),IF(COUNTIF(ApoioA,$B29)&gt;0,$B29,IF($B29="RESOLUÇÃO 049/2022-CONSUNI/CPPGEC","CAPPG - Res 49",IF($B29="OUTROS","DIREÇÃO","")))))="PPGEL")*ApoioK+((IFERROR(INDEX(ApoioA,MATCH($B29,ApoioB,0)),IF(COUNTIF(ApoioA,$B29)&gt;0,$B29,IF($B29="RESOLUÇÃO 049/2022-CONSUNI/CPPGEC","CAPPG - Res 49",IF($B29="OUTROS","DIREÇÃO","")))))="PPGH/PPGDH")*ApoioL)),--ISNUMBER(ApoioE))=0,"Pendente",SUMPRODUCT((--(ApoioA&lt;&gt;"")*--(((ApoioA=(IFERROR(INDEX(ApoioA,MATCH($B29,ApoioB,0)),IF(COUNTIF(ApoioA,$B29)&gt;0,$B29,IF($B29="RESOLUÇÃO 049/2022-CONSUNI/CPPGEC","CAPPG - Res 49",IF($B29="OUTROS","DIREÇÃO",""))))))+((IFERROR(INDEX(ApoioA,MATCH($B29,ApoioB,0)),IF(COUNTIF(ApoioA,$B29)&gt;0,$B29,IF($B29="RESOLUÇÃO 049/2022-CONSUNI/CPPGEC","CAPPG - Res 49",IF($B29="OUTROS","DIREÇÃO","")))))="DIREÇÃO")*(LEFT(ApoioA,9)="DIREÇÃO -"))&gt;0))+(--(ApoioA="PPGEL +")*(((IFERROR(INDEX(ApoioA,MATCH($B29,ApoioB,0)),IF(COUNTIF(ApoioA,$B29)&gt;0,$B29,IF($B29="RESOLUÇÃO 049/2022-CONSUNI/CPPGEC","CAPPG - Res 49",IF($B29="OUTROS","DIREÇÃO","")))))="PPGE")*ApoioJ+((IFERROR(INDEX(ApoioA,MATCH($B29,ApoioB,0)),IF(COUNTIF(ApoioA,$B29)&gt;0,$B29,IF($B29="RESOLUÇÃO 049/2022-CONSUNI/CPPGEC","CAPPG - Res 49",IF($B29="OUTROS","DIREÇÃO","")))))="PPGEL")*ApoioK+((IFERROR(INDEX(ApoioA,MATCH($B29,ApoioB,0)),IF(COUNTIF(ApoioA,$B29)&gt;0,$B29,IF($B29="RESOLUÇÃO 049/2022-CONSUNI/CPPGEC","CAPPG - Res 49",IF($B29="OUTROS","DIREÇÃO","")))))="PPGH/PPGDH")*ApoioL)),ApoioE))</f>
        <v/>
      </c>
      <c r="J29" s="89">
        <f>IF(SUMPRODUCT((--(ApoioA&lt;&gt;"")*--(((ApoioA=(IFERROR(INDEX(ApoioA,MATCH($B29,ApoioB,0)),IF(COUNTIF(ApoioA,$B29)&gt;0,$B29,IF($B29="RESOLUÇÃO 049/2022-CONSUNI/CPPGEC","CAPPG - Res 49",IF($B29="OUTROS","DIREÇÃO",""))))))+((IFERROR(INDEX(ApoioA,MATCH($B29,ApoioB,0)),IF(COUNTIF(ApoioA,$B29)&gt;0,$B29,IF($B29="RESOLUÇÃO 049/2022-CONSUNI/CPPGEC","CAPPG - Res 49",IF($B29="OUTROS","DIREÇÃO","")))))="DIREÇÃO")*(LEFT(ApoioA,9)="DIREÇÃO -"))&gt;0))+(--(ApoioA="PPGEL +")*(((IFERROR(INDEX(ApoioA,MATCH($B29,ApoioB,0)),IF(COUNTIF(ApoioA,$B29)&gt;0,$B29,IF($B29="RESOLUÇÃO 049/2022-CONSUNI/CPPGEC","CAPPG - Res 49",IF($B29="OUTROS","DIREÇÃO","")))))="PPGE")*ApoioJ+((IFERROR(INDEX(ApoioA,MATCH($B29,ApoioB,0)),IF(COUNTIF(ApoioA,$B29)&gt;0,$B29,IF($B29="RESOLUÇÃO 049/2022-CONSUNI/CPPGEC","CAPPG - Res 49",IF($B29="OUTROS","DIREÇÃO","")))))="PPGEL")*ApoioK+((IFERROR(INDEX(ApoioA,MATCH($B29,ApoioB,0)),IF(COUNTIF(ApoioA,$B29)&gt;0,$B29,IF($B29="RESOLUÇÃO 049/2022-CONSUNI/CPPGEC","CAPPG - Res 49",IF($B29="OUTROS","DIREÇÃO","")))))="PPGH/PPGDH")*ApoioL)),--ISNUMBER(ApoioG))=0,"Pendente",SUMPRODUCT((--(ApoioA&lt;&gt;"")*--(((ApoioA=(IFERROR(INDEX(ApoioA,MATCH($B29,ApoioB,0)),IF(COUNTIF(ApoioA,$B29)&gt;0,$B29,IF($B29="RESOLUÇÃO 049/2022-CONSUNI/CPPGEC","CAPPG - Res 49",IF($B29="OUTROS","DIREÇÃO",""))))))+((IFERROR(INDEX(ApoioA,MATCH($B29,ApoioB,0)),IF(COUNTIF(ApoioA,$B29)&gt;0,$B29,IF($B29="RESOLUÇÃO 049/2022-CONSUNI/CPPGEC","CAPPG - Res 49",IF($B29="OUTROS","DIREÇÃO","")))))="DIREÇÃO")*(LEFT(ApoioA,9)="DIREÇÃO -"))&gt;0))+(--(ApoioA="PPGEL +")*(((IFERROR(INDEX(ApoioA,MATCH($B29,ApoioB,0)),IF(COUNTIF(ApoioA,$B29)&gt;0,$B29,IF($B29="RESOLUÇÃO 049/2022-CONSUNI/CPPGEC","CAPPG - Res 49",IF($B29="OUTROS","DIREÇÃO","")))))="PPGE")*ApoioJ+((IFERROR(INDEX(ApoioA,MATCH($B29,ApoioB,0)),IF(COUNTIF(ApoioA,$B29)&gt;0,$B29,IF($B29="RESOLUÇÃO 049/2022-CONSUNI/CPPGEC","CAPPG - Res 49",IF($B29="OUTROS","DIREÇÃO","")))))="PPGEL")*ApoioK+((IFERROR(INDEX(ApoioA,MATCH($B29,ApoioB,0)),IF(COUNTIF(ApoioA,$B29)&gt;0,$B29,IF($B29="RESOLUÇÃO 049/2022-CONSUNI/CPPGEC","CAPPG - Res 49",IF($B29="OUTROS","DIREÇÃO","")))))="PPGH/PPGDH")*ApoioL)),ApoioG))</f>
        <v/>
      </c>
      <c r="K29" s="89">
        <f>IF(AND(ISNUMBER(I29),ISNUMBER(J29)),I29-J29,"Pendente")</f>
        <v/>
      </c>
      <c r="L29" s="70" t="n"/>
      <c r="M29" s="89">
        <f>IF(AND(ISNUMBER(G29),ISNUMBER(K29)),G29+K29,"Pendente")</f>
        <v/>
      </c>
      <c r="O29" s="67" t="inlineStr">
        <is>
          <t>Grupo principal</t>
        </is>
      </c>
      <c r="P29" s="67">
        <f>B29</f>
        <v/>
      </c>
    </row>
    <row r="30" ht="15" customHeight="1" s="61">
      <c r="A30" s="69" t="n"/>
      <c r="B30" s="87" t="inlineStr">
        <is>
          <t>Mestrado em Filosofia</t>
        </is>
      </c>
      <c r="C30" s="88">
        <f>IF(AND(ISNUMBER(E30),ISNUMBER(I30)),E30+I30,"Pendente")</f>
        <v/>
      </c>
      <c r="D30" s="70" t="n"/>
      <c r="E30" s="88">
        <f>IF(SUMPRODUCT((--(ApoioA&lt;&gt;"")*--(((ApoioA=(IFERROR(INDEX(ApoioA,MATCH($B30,ApoioB,0)),IF(COUNTIF(ApoioA,$B30)&gt;0,$B30,IF($B30="RESOLUÇÃO 049/2022-CONSUNI/CPPGEC","CAPPG - Res 49",IF($B30="OUTROS","DIREÇÃO",""))))))+((IFERROR(INDEX(ApoioA,MATCH($B30,ApoioB,0)),IF(COUNTIF(ApoioA,$B30)&gt;0,$B30,IF($B30="RESOLUÇÃO 049/2022-CONSUNI/CPPGEC","CAPPG - Res 49",IF($B30="OUTROS","DIREÇÃO","")))))="DIREÇÃO")*(LEFT(ApoioA,9)="DIREÇÃO -"))&gt;0))+(--(ApoioA="PPGEL +")*(((IFERROR(INDEX(ApoioA,MATCH($B30,ApoioB,0)),IF(COUNTIF(ApoioA,$B30)&gt;0,$B30,IF($B30="RESOLUÇÃO 049/2022-CONSUNI/CPPGEC","CAPPG - Res 49",IF($B30="OUTROS","DIREÇÃO","")))))="PPGE")*ApoioJ+((IFERROR(INDEX(ApoioA,MATCH($B30,ApoioB,0)),IF(COUNTIF(ApoioA,$B30)&gt;0,$B30,IF($B30="RESOLUÇÃO 049/2022-CONSUNI/CPPGEC","CAPPG - Res 49",IF($B30="OUTROS","DIREÇÃO","")))))="PPGEL")*ApoioK+((IFERROR(INDEX(ApoioA,MATCH($B30,ApoioB,0)),IF(COUNTIF(ApoioA,$B30)&gt;0,$B30,IF($B30="RESOLUÇÃO 049/2022-CONSUNI/CPPGEC","CAPPG - Res 49",IF($B30="OUTROS","DIREÇÃO","")))))="PPGH/PPGDH")*ApoioL)),--ISNUMBER(ApoioD))=0,"Pendente",SUMPRODUCT((--(ApoioA&lt;&gt;"")*--(((ApoioA=(IFERROR(INDEX(ApoioA,MATCH($B30,ApoioB,0)),IF(COUNTIF(ApoioA,$B30)&gt;0,$B30,IF($B30="RESOLUÇÃO 049/2022-CONSUNI/CPPGEC","CAPPG - Res 49",IF($B30="OUTROS","DIREÇÃO",""))))))+((IFERROR(INDEX(ApoioA,MATCH($B30,ApoioB,0)),IF(COUNTIF(ApoioA,$B30)&gt;0,$B30,IF($B30="RESOLUÇÃO 049/2022-CONSUNI/CPPGEC","CAPPG - Res 49",IF($B30="OUTROS","DIREÇÃO","")))))="DIREÇÃO")*(LEFT(ApoioA,9)="DIREÇÃO -"))&gt;0))+(--(ApoioA="PPGEL +")*(((IFERROR(INDEX(ApoioA,MATCH($B30,ApoioB,0)),IF(COUNTIF(ApoioA,$B30)&gt;0,$B30,IF($B30="RESOLUÇÃO 049/2022-CONSUNI/CPPGEC","CAPPG - Res 49",IF($B30="OUTROS","DIREÇÃO","")))))="PPGE")*ApoioJ+((IFERROR(INDEX(ApoioA,MATCH($B30,ApoioB,0)),IF(COUNTIF(ApoioA,$B30)&gt;0,$B30,IF($B30="RESOLUÇÃO 049/2022-CONSUNI/CPPGEC","CAPPG - Res 49",IF($B30="OUTROS","DIREÇÃO","")))))="PPGEL")*ApoioK+((IFERROR(INDEX(ApoioA,MATCH($B30,ApoioB,0)),IF(COUNTIF(ApoioA,$B30)&gt;0,$B30,IF($B30="RESOLUÇÃO 049/2022-CONSUNI/CPPGEC","CAPPG - Res 49",IF($B30="OUTROS","DIREÇÃO","")))))="PPGH/PPGDH")*ApoioL)),ApoioD))</f>
        <v/>
      </c>
      <c r="F30" s="89">
        <f>IF(SUMPRODUCT((--(ApoioA&lt;&gt;"")*--(((ApoioA=(IFERROR(INDEX(ApoioA,MATCH($B30,ApoioB,0)),IF(COUNTIF(ApoioA,$B30)&gt;0,$B30,IF($B30="RESOLUÇÃO 049/2022-CONSUNI/CPPGEC","CAPPG - Res 49",IF($B30="OUTROS","DIREÇÃO",""))))))+((IFERROR(INDEX(ApoioA,MATCH($B30,ApoioB,0)),IF(COUNTIF(ApoioA,$B30)&gt;0,$B30,IF($B30="RESOLUÇÃO 049/2022-CONSUNI/CPPGEC","CAPPG - Res 49",IF($B30="OUTROS","DIREÇÃO","")))))="DIREÇÃO")*(LEFT(ApoioA,9)="DIREÇÃO -"))&gt;0))+(--(ApoioA="PPGEL +")*(((IFERROR(INDEX(ApoioA,MATCH($B30,ApoioB,0)),IF(COUNTIF(ApoioA,$B30)&gt;0,$B30,IF($B30="RESOLUÇÃO 049/2022-CONSUNI/CPPGEC","CAPPG - Res 49",IF($B30="OUTROS","DIREÇÃO","")))))="PPGE")*ApoioJ+((IFERROR(INDEX(ApoioA,MATCH($B30,ApoioB,0)),IF(COUNTIF(ApoioA,$B30)&gt;0,$B30,IF($B30="RESOLUÇÃO 049/2022-CONSUNI/CPPGEC","CAPPG - Res 49",IF($B30="OUTROS","DIREÇÃO","")))))="PPGEL")*ApoioK+((IFERROR(INDEX(ApoioA,MATCH($B30,ApoioB,0)),IF(COUNTIF(ApoioA,$B30)&gt;0,$B30,IF($B30="RESOLUÇÃO 049/2022-CONSUNI/CPPGEC","CAPPG - Res 49",IF($B30="OUTROS","DIREÇÃO","")))))="PPGH/PPGDH")*ApoioL)),COUNTIFS(ViagensM,ApoioA,ViagensC,"Cancelada",ViagensN,""))&gt;0,"Pendente",SUMPRODUCT((--(ApoioA&lt;&gt;"")*--(((ApoioA=(IFERROR(INDEX(ApoioA,MATCH($B30,ApoioB,0)),IF(COUNTIF(ApoioA,$B30)&gt;0,$B30,IF($B30="RESOLUÇÃO 049/2022-CONSUNI/CPPGEC","CAPPG - Res 49",IF($B30="OUTROS","DIREÇÃO",""))))))+((IFERROR(INDEX(ApoioA,MATCH($B30,ApoioB,0)),IF(COUNTIF(ApoioA,$B30)&gt;0,$B30,IF($B30="RESOLUÇÃO 049/2022-CONSUNI/CPPGEC","CAPPG - Res 49",IF($B30="OUTROS","DIREÇÃO","")))))="DIREÇÃO")*(LEFT(ApoioA,9)="DIREÇÃO -"))&gt;0))+(--(ApoioA="PPGEL +")*(((IFERROR(INDEX(ApoioA,MATCH($B30,ApoioB,0)),IF(COUNTIF(ApoioA,$B30)&gt;0,$B30,IF($B30="RESOLUÇÃO 049/2022-CONSUNI/CPPGEC","CAPPG - Res 49",IF($B30="OUTROS","DIREÇÃO","")))))="PPGE")*ApoioJ+((IFERROR(INDEX(ApoioA,MATCH($B30,ApoioB,0)),IF(COUNTIF(ApoioA,$B30)&gt;0,$B30,IF($B30="RESOLUÇÃO 049/2022-CONSUNI/CPPGEC","CAPPG - Res 49",IF($B30="OUTROS","DIREÇÃO","")))))="PPGEL")*ApoioK+((IFERROR(INDEX(ApoioA,MATCH($B30,ApoioB,0)),IF(COUNTIF(ApoioA,$B30)&gt;0,$B30,IF($B30="RESOLUÇÃO 049/2022-CONSUNI/CPPGEC","CAPPG - Res 49",IF($B30="OUTROS","DIREÇÃO","")))))="PPGH/PPGDH")*ApoioL)),(SUMIFS(ViagensK,ViagensM,ApoioA,ViagensC,"&lt;&gt;Cancelada")+SUMIFS(ViagensK,ViagensM,ApoioA,ViagensC,"Cancelada",ViagensN,"Sim"))))</f>
        <v/>
      </c>
      <c r="G30" s="89">
        <f>IF(AND(ISNUMBER(E30),ISNUMBER(F30)),E30-F30,"Pendente")</f>
        <v/>
      </c>
      <c r="H30" s="70" t="n"/>
      <c r="I30" s="88">
        <f>IF(SUMPRODUCT((--(ApoioA&lt;&gt;"")*--(((ApoioA=(IFERROR(INDEX(ApoioA,MATCH($B30,ApoioB,0)),IF(COUNTIF(ApoioA,$B30)&gt;0,$B30,IF($B30="RESOLUÇÃO 049/2022-CONSUNI/CPPGEC","CAPPG - Res 49",IF($B30="OUTROS","DIREÇÃO",""))))))+((IFERROR(INDEX(ApoioA,MATCH($B30,ApoioB,0)),IF(COUNTIF(ApoioA,$B30)&gt;0,$B30,IF($B30="RESOLUÇÃO 049/2022-CONSUNI/CPPGEC","CAPPG - Res 49",IF($B30="OUTROS","DIREÇÃO","")))))="DIREÇÃO")*(LEFT(ApoioA,9)="DIREÇÃO -"))&gt;0))+(--(ApoioA="PPGEL +")*(((IFERROR(INDEX(ApoioA,MATCH($B30,ApoioB,0)),IF(COUNTIF(ApoioA,$B30)&gt;0,$B30,IF($B30="RESOLUÇÃO 049/2022-CONSUNI/CPPGEC","CAPPG - Res 49",IF($B30="OUTROS","DIREÇÃO","")))))="PPGE")*ApoioJ+((IFERROR(INDEX(ApoioA,MATCH($B30,ApoioB,0)),IF(COUNTIF(ApoioA,$B30)&gt;0,$B30,IF($B30="RESOLUÇÃO 049/2022-CONSUNI/CPPGEC","CAPPG - Res 49",IF($B30="OUTROS","DIREÇÃO","")))))="PPGEL")*ApoioK+((IFERROR(INDEX(ApoioA,MATCH($B30,ApoioB,0)),IF(COUNTIF(ApoioA,$B30)&gt;0,$B30,IF($B30="RESOLUÇÃO 049/2022-CONSUNI/CPPGEC","CAPPG - Res 49",IF($B30="OUTROS","DIREÇÃO","")))))="PPGH/PPGDH")*ApoioL)),--ISNUMBER(ApoioE))=0,"Pendente",SUMPRODUCT((--(ApoioA&lt;&gt;"")*--(((ApoioA=(IFERROR(INDEX(ApoioA,MATCH($B30,ApoioB,0)),IF(COUNTIF(ApoioA,$B30)&gt;0,$B30,IF($B30="RESOLUÇÃO 049/2022-CONSUNI/CPPGEC","CAPPG - Res 49",IF($B30="OUTROS","DIREÇÃO",""))))))+((IFERROR(INDEX(ApoioA,MATCH($B30,ApoioB,0)),IF(COUNTIF(ApoioA,$B30)&gt;0,$B30,IF($B30="RESOLUÇÃO 049/2022-CONSUNI/CPPGEC","CAPPG - Res 49",IF($B30="OUTROS","DIREÇÃO","")))))="DIREÇÃO")*(LEFT(ApoioA,9)="DIREÇÃO -"))&gt;0))+(--(ApoioA="PPGEL +")*(((IFERROR(INDEX(ApoioA,MATCH($B30,ApoioB,0)),IF(COUNTIF(ApoioA,$B30)&gt;0,$B30,IF($B30="RESOLUÇÃO 049/2022-CONSUNI/CPPGEC","CAPPG - Res 49",IF($B30="OUTROS","DIREÇÃO","")))))="PPGE")*ApoioJ+((IFERROR(INDEX(ApoioA,MATCH($B30,ApoioB,0)),IF(COUNTIF(ApoioA,$B30)&gt;0,$B30,IF($B30="RESOLUÇÃO 049/2022-CONSUNI/CPPGEC","CAPPG - Res 49",IF($B30="OUTROS","DIREÇÃO","")))))="PPGEL")*ApoioK+((IFERROR(INDEX(ApoioA,MATCH($B30,ApoioB,0)),IF(COUNTIF(ApoioA,$B30)&gt;0,$B30,IF($B30="RESOLUÇÃO 049/2022-CONSUNI/CPPGEC","CAPPG - Res 49",IF($B30="OUTROS","DIREÇÃO","")))))="PPGH/PPGDH")*ApoioL)),ApoioE))</f>
        <v/>
      </c>
      <c r="J30" s="89">
        <f>IF(SUMPRODUCT((--(ApoioA&lt;&gt;"")*--(((ApoioA=(IFERROR(INDEX(ApoioA,MATCH($B30,ApoioB,0)),IF(COUNTIF(ApoioA,$B30)&gt;0,$B30,IF($B30="RESOLUÇÃO 049/2022-CONSUNI/CPPGEC","CAPPG - Res 49",IF($B30="OUTROS","DIREÇÃO",""))))))+((IFERROR(INDEX(ApoioA,MATCH($B30,ApoioB,0)),IF(COUNTIF(ApoioA,$B30)&gt;0,$B30,IF($B30="RESOLUÇÃO 049/2022-CONSUNI/CPPGEC","CAPPG - Res 49",IF($B30="OUTROS","DIREÇÃO","")))))="DIREÇÃO")*(LEFT(ApoioA,9)="DIREÇÃO -"))&gt;0))+(--(ApoioA="PPGEL +")*(((IFERROR(INDEX(ApoioA,MATCH($B30,ApoioB,0)),IF(COUNTIF(ApoioA,$B30)&gt;0,$B30,IF($B30="RESOLUÇÃO 049/2022-CONSUNI/CPPGEC","CAPPG - Res 49",IF($B30="OUTROS","DIREÇÃO","")))))="PPGE")*ApoioJ+((IFERROR(INDEX(ApoioA,MATCH($B30,ApoioB,0)),IF(COUNTIF(ApoioA,$B30)&gt;0,$B30,IF($B30="RESOLUÇÃO 049/2022-CONSUNI/CPPGEC","CAPPG - Res 49",IF($B30="OUTROS","DIREÇÃO","")))))="PPGEL")*ApoioK+((IFERROR(INDEX(ApoioA,MATCH($B30,ApoioB,0)),IF(COUNTIF(ApoioA,$B30)&gt;0,$B30,IF($B30="RESOLUÇÃO 049/2022-CONSUNI/CPPGEC","CAPPG - Res 49",IF($B30="OUTROS","DIREÇÃO","")))))="PPGH/PPGDH")*ApoioL)),--ISNUMBER(ApoioG))=0,"Pendente",SUMPRODUCT((--(ApoioA&lt;&gt;"")*--(((ApoioA=(IFERROR(INDEX(ApoioA,MATCH($B30,ApoioB,0)),IF(COUNTIF(ApoioA,$B30)&gt;0,$B30,IF($B30="RESOLUÇÃO 049/2022-CONSUNI/CPPGEC","CAPPG - Res 49",IF($B30="OUTROS","DIREÇÃO",""))))))+((IFERROR(INDEX(ApoioA,MATCH($B30,ApoioB,0)),IF(COUNTIF(ApoioA,$B30)&gt;0,$B30,IF($B30="RESOLUÇÃO 049/2022-CONSUNI/CPPGEC","CAPPG - Res 49",IF($B30="OUTROS","DIREÇÃO","")))))="DIREÇÃO")*(LEFT(ApoioA,9)="DIREÇÃO -"))&gt;0))+(--(ApoioA="PPGEL +")*(((IFERROR(INDEX(ApoioA,MATCH($B30,ApoioB,0)),IF(COUNTIF(ApoioA,$B30)&gt;0,$B30,IF($B30="RESOLUÇÃO 049/2022-CONSUNI/CPPGEC","CAPPG - Res 49",IF($B30="OUTROS","DIREÇÃO","")))))="PPGE")*ApoioJ+((IFERROR(INDEX(ApoioA,MATCH($B30,ApoioB,0)),IF(COUNTIF(ApoioA,$B30)&gt;0,$B30,IF($B30="RESOLUÇÃO 049/2022-CONSUNI/CPPGEC","CAPPG - Res 49",IF($B30="OUTROS","DIREÇÃO","")))))="PPGEL")*ApoioK+((IFERROR(INDEX(ApoioA,MATCH($B30,ApoioB,0)),IF(COUNTIF(ApoioA,$B30)&gt;0,$B30,IF($B30="RESOLUÇÃO 049/2022-CONSUNI/CPPGEC","CAPPG - Res 49",IF($B30="OUTROS","DIREÇÃO","")))))="PPGH/PPGDH")*ApoioL)),ApoioG))</f>
        <v/>
      </c>
      <c r="K30" s="89">
        <f>IF(AND(ISNUMBER(I30),ISNUMBER(J30)),I30-J30,"Pendente")</f>
        <v/>
      </c>
      <c r="L30" s="70" t="n"/>
      <c r="M30" s="89">
        <f>IF(AND(ISNUMBER(G30),ISNUMBER(K30)),G30+K30,"Pendente")</f>
        <v/>
      </c>
      <c r="O30" s="67" t="inlineStr">
        <is>
          <t>Grupo principal</t>
        </is>
      </c>
      <c r="P30" s="67">
        <f>B30</f>
        <v/>
      </c>
    </row>
    <row r="31" ht="15" customHeight="1" s="61">
      <c r="A31" s="69" t="n"/>
      <c r="B31" s="87" t="inlineStr">
        <is>
          <t>Mestrado em Geografia</t>
        </is>
      </c>
      <c r="C31" s="88">
        <f>IF(AND(ISNUMBER(E31),ISNUMBER(I31)),E31+I31,"Pendente")</f>
        <v/>
      </c>
      <c r="D31" s="70" t="n"/>
      <c r="E31" s="88">
        <f>IF(SUMPRODUCT((--(ApoioA&lt;&gt;"")*--(((ApoioA=(IFERROR(INDEX(ApoioA,MATCH($B31,ApoioB,0)),IF(COUNTIF(ApoioA,$B31)&gt;0,$B31,IF($B31="RESOLUÇÃO 049/2022-CONSUNI/CPPGEC","CAPPG - Res 49",IF($B31="OUTROS","DIREÇÃO",""))))))+((IFERROR(INDEX(ApoioA,MATCH($B31,ApoioB,0)),IF(COUNTIF(ApoioA,$B31)&gt;0,$B31,IF($B31="RESOLUÇÃO 049/2022-CONSUNI/CPPGEC","CAPPG - Res 49",IF($B31="OUTROS","DIREÇÃO","")))))="DIREÇÃO")*(LEFT(ApoioA,9)="DIREÇÃO -"))&gt;0))+(--(ApoioA="PPGEL +")*(((IFERROR(INDEX(ApoioA,MATCH($B31,ApoioB,0)),IF(COUNTIF(ApoioA,$B31)&gt;0,$B31,IF($B31="RESOLUÇÃO 049/2022-CONSUNI/CPPGEC","CAPPG - Res 49",IF($B31="OUTROS","DIREÇÃO","")))))="PPGE")*ApoioJ+((IFERROR(INDEX(ApoioA,MATCH($B31,ApoioB,0)),IF(COUNTIF(ApoioA,$B31)&gt;0,$B31,IF($B31="RESOLUÇÃO 049/2022-CONSUNI/CPPGEC","CAPPG - Res 49",IF($B31="OUTROS","DIREÇÃO","")))))="PPGEL")*ApoioK+((IFERROR(INDEX(ApoioA,MATCH($B31,ApoioB,0)),IF(COUNTIF(ApoioA,$B31)&gt;0,$B31,IF($B31="RESOLUÇÃO 049/2022-CONSUNI/CPPGEC","CAPPG - Res 49",IF($B31="OUTROS","DIREÇÃO","")))))="PPGH/PPGDH")*ApoioL)),--ISNUMBER(ApoioD))=0,"Pendente",SUMPRODUCT((--(ApoioA&lt;&gt;"")*--(((ApoioA=(IFERROR(INDEX(ApoioA,MATCH($B31,ApoioB,0)),IF(COUNTIF(ApoioA,$B31)&gt;0,$B31,IF($B31="RESOLUÇÃO 049/2022-CONSUNI/CPPGEC","CAPPG - Res 49",IF($B31="OUTROS","DIREÇÃO",""))))))+((IFERROR(INDEX(ApoioA,MATCH($B31,ApoioB,0)),IF(COUNTIF(ApoioA,$B31)&gt;0,$B31,IF($B31="RESOLUÇÃO 049/2022-CONSUNI/CPPGEC","CAPPG - Res 49",IF($B31="OUTROS","DIREÇÃO","")))))="DIREÇÃO")*(LEFT(ApoioA,9)="DIREÇÃO -"))&gt;0))+(--(ApoioA="PPGEL +")*(((IFERROR(INDEX(ApoioA,MATCH($B31,ApoioB,0)),IF(COUNTIF(ApoioA,$B31)&gt;0,$B31,IF($B31="RESOLUÇÃO 049/2022-CONSUNI/CPPGEC","CAPPG - Res 49",IF($B31="OUTROS","DIREÇÃO","")))))="PPGE")*ApoioJ+((IFERROR(INDEX(ApoioA,MATCH($B31,ApoioB,0)),IF(COUNTIF(ApoioA,$B31)&gt;0,$B31,IF($B31="RESOLUÇÃO 049/2022-CONSUNI/CPPGEC","CAPPG - Res 49",IF($B31="OUTROS","DIREÇÃO","")))))="PPGEL")*ApoioK+((IFERROR(INDEX(ApoioA,MATCH($B31,ApoioB,0)),IF(COUNTIF(ApoioA,$B31)&gt;0,$B31,IF($B31="RESOLUÇÃO 049/2022-CONSUNI/CPPGEC","CAPPG - Res 49",IF($B31="OUTROS","DIREÇÃO","")))))="PPGH/PPGDH")*ApoioL)),ApoioD))</f>
        <v/>
      </c>
      <c r="F31" s="89">
        <f>IF(SUMPRODUCT((--(ApoioA&lt;&gt;"")*--(((ApoioA=(IFERROR(INDEX(ApoioA,MATCH($B31,ApoioB,0)),IF(COUNTIF(ApoioA,$B31)&gt;0,$B31,IF($B31="RESOLUÇÃO 049/2022-CONSUNI/CPPGEC","CAPPG - Res 49",IF($B31="OUTROS","DIREÇÃO",""))))))+((IFERROR(INDEX(ApoioA,MATCH($B31,ApoioB,0)),IF(COUNTIF(ApoioA,$B31)&gt;0,$B31,IF($B31="RESOLUÇÃO 049/2022-CONSUNI/CPPGEC","CAPPG - Res 49",IF($B31="OUTROS","DIREÇÃO","")))))="DIREÇÃO")*(LEFT(ApoioA,9)="DIREÇÃO -"))&gt;0))+(--(ApoioA="PPGEL +")*(((IFERROR(INDEX(ApoioA,MATCH($B31,ApoioB,0)),IF(COUNTIF(ApoioA,$B31)&gt;0,$B31,IF($B31="RESOLUÇÃO 049/2022-CONSUNI/CPPGEC","CAPPG - Res 49",IF($B31="OUTROS","DIREÇÃO","")))))="PPGE")*ApoioJ+((IFERROR(INDEX(ApoioA,MATCH($B31,ApoioB,0)),IF(COUNTIF(ApoioA,$B31)&gt;0,$B31,IF($B31="RESOLUÇÃO 049/2022-CONSUNI/CPPGEC","CAPPG - Res 49",IF($B31="OUTROS","DIREÇÃO","")))))="PPGEL")*ApoioK+((IFERROR(INDEX(ApoioA,MATCH($B31,ApoioB,0)),IF(COUNTIF(ApoioA,$B31)&gt;0,$B31,IF($B31="RESOLUÇÃO 049/2022-CONSUNI/CPPGEC","CAPPG - Res 49",IF($B31="OUTROS","DIREÇÃO","")))))="PPGH/PPGDH")*ApoioL)),COUNTIFS(ViagensM,ApoioA,ViagensC,"Cancelada",ViagensN,""))&gt;0,"Pendente",SUMPRODUCT((--(ApoioA&lt;&gt;"")*--(((ApoioA=(IFERROR(INDEX(ApoioA,MATCH($B31,ApoioB,0)),IF(COUNTIF(ApoioA,$B31)&gt;0,$B31,IF($B31="RESOLUÇÃO 049/2022-CONSUNI/CPPGEC","CAPPG - Res 49",IF($B31="OUTROS","DIREÇÃO",""))))))+((IFERROR(INDEX(ApoioA,MATCH($B31,ApoioB,0)),IF(COUNTIF(ApoioA,$B31)&gt;0,$B31,IF($B31="RESOLUÇÃO 049/2022-CONSUNI/CPPGEC","CAPPG - Res 49",IF($B31="OUTROS","DIREÇÃO","")))))="DIREÇÃO")*(LEFT(ApoioA,9)="DIREÇÃO -"))&gt;0))+(--(ApoioA="PPGEL +")*(((IFERROR(INDEX(ApoioA,MATCH($B31,ApoioB,0)),IF(COUNTIF(ApoioA,$B31)&gt;0,$B31,IF($B31="RESOLUÇÃO 049/2022-CONSUNI/CPPGEC","CAPPG - Res 49",IF($B31="OUTROS","DIREÇÃO","")))))="PPGE")*ApoioJ+((IFERROR(INDEX(ApoioA,MATCH($B31,ApoioB,0)),IF(COUNTIF(ApoioA,$B31)&gt;0,$B31,IF($B31="RESOLUÇÃO 049/2022-CONSUNI/CPPGEC","CAPPG - Res 49",IF($B31="OUTROS","DIREÇÃO","")))))="PPGEL")*ApoioK+((IFERROR(INDEX(ApoioA,MATCH($B31,ApoioB,0)),IF(COUNTIF(ApoioA,$B31)&gt;0,$B31,IF($B31="RESOLUÇÃO 049/2022-CONSUNI/CPPGEC","CAPPG - Res 49",IF($B31="OUTROS","DIREÇÃO","")))))="PPGH/PPGDH")*ApoioL)),(SUMIFS(ViagensK,ViagensM,ApoioA,ViagensC,"&lt;&gt;Cancelada")+SUMIFS(ViagensK,ViagensM,ApoioA,ViagensC,"Cancelada",ViagensN,"Sim"))))</f>
        <v/>
      </c>
      <c r="G31" s="89">
        <f>IF(AND(ISNUMBER(E31),ISNUMBER(F31)),E31-F31,"Pendente")</f>
        <v/>
      </c>
      <c r="H31" s="70" t="n"/>
      <c r="I31" s="88">
        <f>IF(SUMPRODUCT((--(ApoioA&lt;&gt;"")*--(((ApoioA=(IFERROR(INDEX(ApoioA,MATCH($B31,ApoioB,0)),IF(COUNTIF(ApoioA,$B31)&gt;0,$B31,IF($B31="RESOLUÇÃO 049/2022-CONSUNI/CPPGEC","CAPPG - Res 49",IF($B31="OUTROS","DIREÇÃO",""))))))+((IFERROR(INDEX(ApoioA,MATCH($B31,ApoioB,0)),IF(COUNTIF(ApoioA,$B31)&gt;0,$B31,IF($B31="RESOLUÇÃO 049/2022-CONSUNI/CPPGEC","CAPPG - Res 49",IF($B31="OUTROS","DIREÇÃO","")))))="DIREÇÃO")*(LEFT(ApoioA,9)="DIREÇÃO -"))&gt;0))+(--(ApoioA="PPGEL +")*(((IFERROR(INDEX(ApoioA,MATCH($B31,ApoioB,0)),IF(COUNTIF(ApoioA,$B31)&gt;0,$B31,IF($B31="RESOLUÇÃO 049/2022-CONSUNI/CPPGEC","CAPPG - Res 49",IF($B31="OUTROS","DIREÇÃO","")))))="PPGE")*ApoioJ+((IFERROR(INDEX(ApoioA,MATCH($B31,ApoioB,0)),IF(COUNTIF(ApoioA,$B31)&gt;0,$B31,IF($B31="RESOLUÇÃO 049/2022-CONSUNI/CPPGEC","CAPPG - Res 49",IF($B31="OUTROS","DIREÇÃO","")))))="PPGEL")*ApoioK+((IFERROR(INDEX(ApoioA,MATCH($B31,ApoioB,0)),IF(COUNTIF(ApoioA,$B31)&gt;0,$B31,IF($B31="RESOLUÇÃO 049/2022-CONSUNI/CPPGEC","CAPPG - Res 49",IF($B31="OUTROS","DIREÇÃO","")))))="PPGH/PPGDH")*ApoioL)),--ISNUMBER(ApoioE))=0,"Pendente",SUMPRODUCT((--(ApoioA&lt;&gt;"")*--(((ApoioA=(IFERROR(INDEX(ApoioA,MATCH($B31,ApoioB,0)),IF(COUNTIF(ApoioA,$B31)&gt;0,$B31,IF($B31="RESOLUÇÃO 049/2022-CONSUNI/CPPGEC","CAPPG - Res 49",IF($B31="OUTROS","DIREÇÃO",""))))))+((IFERROR(INDEX(ApoioA,MATCH($B31,ApoioB,0)),IF(COUNTIF(ApoioA,$B31)&gt;0,$B31,IF($B31="RESOLUÇÃO 049/2022-CONSUNI/CPPGEC","CAPPG - Res 49",IF($B31="OUTROS","DIREÇÃO","")))))="DIREÇÃO")*(LEFT(ApoioA,9)="DIREÇÃO -"))&gt;0))+(--(ApoioA="PPGEL +")*(((IFERROR(INDEX(ApoioA,MATCH($B31,ApoioB,0)),IF(COUNTIF(ApoioA,$B31)&gt;0,$B31,IF($B31="RESOLUÇÃO 049/2022-CONSUNI/CPPGEC","CAPPG - Res 49",IF($B31="OUTROS","DIREÇÃO","")))))="PPGE")*ApoioJ+((IFERROR(INDEX(ApoioA,MATCH($B31,ApoioB,0)),IF(COUNTIF(ApoioA,$B31)&gt;0,$B31,IF($B31="RESOLUÇÃO 049/2022-CONSUNI/CPPGEC","CAPPG - Res 49",IF($B31="OUTROS","DIREÇÃO","")))))="PPGEL")*ApoioK+((IFERROR(INDEX(ApoioA,MATCH($B31,ApoioB,0)),IF(COUNTIF(ApoioA,$B31)&gt;0,$B31,IF($B31="RESOLUÇÃO 049/2022-CONSUNI/CPPGEC","CAPPG - Res 49",IF($B31="OUTROS","DIREÇÃO","")))))="PPGH/PPGDH")*ApoioL)),ApoioE))</f>
        <v/>
      </c>
      <c r="J31" s="89">
        <f>IF(SUMPRODUCT((--(ApoioA&lt;&gt;"")*--(((ApoioA=(IFERROR(INDEX(ApoioA,MATCH($B31,ApoioB,0)),IF(COUNTIF(ApoioA,$B31)&gt;0,$B31,IF($B31="RESOLUÇÃO 049/2022-CONSUNI/CPPGEC","CAPPG - Res 49",IF($B31="OUTROS","DIREÇÃO",""))))))+((IFERROR(INDEX(ApoioA,MATCH($B31,ApoioB,0)),IF(COUNTIF(ApoioA,$B31)&gt;0,$B31,IF($B31="RESOLUÇÃO 049/2022-CONSUNI/CPPGEC","CAPPG - Res 49",IF($B31="OUTROS","DIREÇÃO","")))))="DIREÇÃO")*(LEFT(ApoioA,9)="DIREÇÃO -"))&gt;0))+(--(ApoioA="PPGEL +")*(((IFERROR(INDEX(ApoioA,MATCH($B31,ApoioB,0)),IF(COUNTIF(ApoioA,$B31)&gt;0,$B31,IF($B31="RESOLUÇÃO 049/2022-CONSUNI/CPPGEC","CAPPG - Res 49",IF($B31="OUTROS","DIREÇÃO","")))))="PPGE")*ApoioJ+((IFERROR(INDEX(ApoioA,MATCH($B31,ApoioB,0)),IF(COUNTIF(ApoioA,$B31)&gt;0,$B31,IF($B31="RESOLUÇÃO 049/2022-CONSUNI/CPPGEC","CAPPG - Res 49",IF($B31="OUTROS","DIREÇÃO","")))))="PPGEL")*ApoioK+((IFERROR(INDEX(ApoioA,MATCH($B31,ApoioB,0)),IF(COUNTIF(ApoioA,$B31)&gt;0,$B31,IF($B31="RESOLUÇÃO 049/2022-CONSUNI/CPPGEC","CAPPG - Res 49",IF($B31="OUTROS","DIREÇÃO","")))))="PPGH/PPGDH")*ApoioL)),--ISNUMBER(ApoioG))=0,"Pendente",SUMPRODUCT((--(ApoioA&lt;&gt;"")*--(((ApoioA=(IFERROR(INDEX(ApoioA,MATCH($B31,ApoioB,0)),IF(COUNTIF(ApoioA,$B31)&gt;0,$B31,IF($B31="RESOLUÇÃO 049/2022-CONSUNI/CPPGEC","CAPPG - Res 49",IF($B31="OUTROS","DIREÇÃO",""))))))+((IFERROR(INDEX(ApoioA,MATCH($B31,ApoioB,0)),IF(COUNTIF(ApoioA,$B31)&gt;0,$B31,IF($B31="RESOLUÇÃO 049/2022-CONSUNI/CPPGEC","CAPPG - Res 49",IF($B31="OUTROS","DIREÇÃO","")))))="DIREÇÃO")*(LEFT(ApoioA,9)="DIREÇÃO -"))&gt;0))+(--(ApoioA="PPGEL +")*(((IFERROR(INDEX(ApoioA,MATCH($B31,ApoioB,0)),IF(COUNTIF(ApoioA,$B31)&gt;0,$B31,IF($B31="RESOLUÇÃO 049/2022-CONSUNI/CPPGEC","CAPPG - Res 49",IF($B31="OUTROS","DIREÇÃO","")))))="PPGE")*ApoioJ+((IFERROR(INDEX(ApoioA,MATCH($B31,ApoioB,0)),IF(COUNTIF(ApoioA,$B31)&gt;0,$B31,IF($B31="RESOLUÇÃO 049/2022-CONSUNI/CPPGEC","CAPPG - Res 49",IF($B31="OUTROS","DIREÇÃO","")))))="PPGEL")*ApoioK+((IFERROR(INDEX(ApoioA,MATCH($B31,ApoioB,0)),IF(COUNTIF(ApoioA,$B31)&gt;0,$B31,IF($B31="RESOLUÇÃO 049/2022-CONSUNI/CPPGEC","CAPPG - Res 49",IF($B31="OUTROS","DIREÇÃO","")))))="PPGH/PPGDH")*ApoioL)),ApoioG))</f>
        <v/>
      </c>
      <c r="K31" s="89">
        <f>IF(AND(ISNUMBER(I31),ISNUMBER(J31)),I31-J31,"Pendente")</f>
        <v/>
      </c>
      <c r="L31" s="70" t="n"/>
      <c r="M31" s="89">
        <f>IF(AND(ISNUMBER(G31),ISNUMBER(K31)),G31+K31,"Pendente")</f>
        <v/>
      </c>
      <c r="O31" s="67" t="inlineStr">
        <is>
          <t>Grupo principal</t>
        </is>
      </c>
      <c r="P31" s="67">
        <f>B31</f>
        <v/>
      </c>
    </row>
    <row r="32" ht="15" customHeight="1" s="61">
      <c r="A32" s="69" t="n"/>
      <c r="B32" s="87" t="inlineStr">
        <is>
          <t>Mestrado e Doutorado em História</t>
        </is>
      </c>
      <c r="C32" s="88">
        <f>IF(AND(ISNUMBER(E32),ISNUMBER(I32)),E32+I32,"Pendente")</f>
        <v/>
      </c>
      <c r="D32" s="70" t="n"/>
      <c r="E32" s="88">
        <f>IF(SUMPRODUCT((--(ApoioA&lt;&gt;"")*--(((ApoioA=(IFERROR(INDEX(ApoioA,MATCH($B32,ApoioB,0)),IF(COUNTIF(ApoioA,$B32)&gt;0,$B32,IF($B32="RESOLUÇÃO 049/2022-CONSUNI/CPPGEC","CAPPG - Res 49",IF($B32="OUTROS","DIREÇÃO",""))))))+((IFERROR(INDEX(ApoioA,MATCH($B32,ApoioB,0)),IF(COUNTIF(ApoioA,$B32)&gt;0,$B32,IF($B32="RESOLUÇÃO 049/2022-CONSUNI/CPPGEC","CAPPG - Res 49",IF($B32="OUTROS","DIREÇÃO","")))))="DIREÇÃO")*(LEFT(ApoioA,9)="DIREÇÃO -"))&gt;0))+(--(ApoioA="PPGEL +")*(((IFERROR(INDEX(ApoioA,MATCH($B32,ApoioB,0)),IF(COUNTIF(ApoioA,$B32)&gt;0,$B32,IF($B32="RESOLUÇÃO 049/2022-CONSUNI/CPPGEC","CAPPG - Res 49",IF($B32="OUTROS","DIREÇÃO","")))))="PPGE")*ApoioJ+((IFERROR(INDEX(ApoioA,MATCH($B32,ApoioB,0)),IF(COUNTIF(ApoioA,$B32)&gt;0,$B32,IF($B32="RESOLUÇÃO 049/2022-CONSUNI/CPPGEC","CAPPG - Res 49",IF($B32="OUTROS","DIREÇÃO","")))))="PPGEL")*ApoioK+((IFERROR(INDEX(ApoioA,MATCH($B32,ApoioB,0)),IF(COUNTIF(ApoioA,$B32)&gt;0,$B32,IF($B32="RESOLUÇÃO 049/2022-CONSUNI/CPPGEC","CAPPG - Res 49",IF($B32="OUTROS","DIREÇÃO","")))))="PPGH/PPGDH")*ApoioL)),--ISNUMBER(ApoioD))=0,"Pendente",SUMPRODUCT((--(ApoioA&lt;&gt;"")*--(((ApoioA=(IFERROR(INDEX(ApoioA,MATCH($B32,ApoioB,0)),IF(COUNTIF(ApoioA,$B32)&gt;0,$B32,IF($B32="RESOLUÇÃO 049/2022-CONSUNI/CPPGEC","CAPPG - Res 49",IF($B32="OUTROS","DIREÇÃO",""))))))+((IFERROR(INDEX(ApoioA,MATCH($B32,ApoioB,0)),IF(COUNTIF(ApoioA,$B32)&gt;0,$B32,IF($B32="RESOLUÇÃO 049/2022-CONSUNI/CPPGEC","CAPPG - Res 49",IF($B32="OUTROS","DIREÇÃO","")))))="DIREÇÃO")*(LEFT(ApoioA,9)="DIREÇÃO -"))&gt;0))+(--(ApoioA="PPGEL +")*(((IFERROR(INDEX(ApoioA,MATCH($B32,ApoioB,0)),IF(COUNTIF(ApoioA,$B32)&gt;0,$B32,IF($B32="RESOLUÇÃO 049/2022-CONSUNI/CPPGEC","CAPPG - Res 49",IF($B32="OUTROS","DIREÇÃO","")))))="PPGE")*ApoioJ+((IFERROR(INDEX(ApoioA,MATCH($B32,ApoioB,0)),IF(COUNTIF(ApoioA,$B32)&gt;0,$B32,IF($B32="RESOLUÇÃO 049/2022-CONSUNI/CPPGEC","CAPPG - Res 49",IF($B32="OUTROS","DIREÇÃO","")))))="PPGEL")*ApoioK+((IFERROR(INDEX(ApoioA,MATCH($B32,ApoioB,0)),IF(COUNTIF(ApoioA,$B32)&gt;0,$B32,IF($B32="RESOLUÇÃO 049/2022-CONSUNI/CPPGEC","CAPPG - Res 49",IF($B32="OUTROS","DIREÇÃO","")))))="PPGH/PPGDH")*ApoioL)),ApoioD))</f>
        <v/>
      </c>
      <c r="F32" s="89">
        <f>IF(SUMPRODUCT((--(ApoioA&lt;&gt;"")*--(((ApoioA=(IFERROR(INDEX(ApoioA,MATCH($B32,ApoioB,0)),IF(COUNTIF(ApoioA,$B32)&gt;0,$B32,IF($B32="RESOLUÇÃO 049/2022-CONSUNI/CPPGEC","CAPPG - Res 49",IF($B32="OUTROS","DIREÇÃO",""))))))+((IFERROR(INDEX(ApoioA,MATCH($B32,ApoioB,0)),IF(COUNTIF(ApoioA,$B32)&gt;0,$B32,IF($B32="RESOLUÇÃO 049/2022-CONSUNI/CPPGEC","CAPPG - Res 49",IF($B32="OUTROS","DIREÇÃO","")))))="DIREÇÃO")*(LEFT(ApoioA,9)="DIREÇÃO -"))&gt;0))+(--(ApoioA="PPGEL +")*(((IFERROR(INDEX(ApoioA,MATCH($B32,ApoioB,0)),IF(COUNTIF(ApoioA,$B32)&gt;0,$B32,IF($B32="RESOLUÇÃO 049/2022-CONSUNI/CPPGEC","CAPPG - Res 49",IF($B32="OUTROS","DIREÇÃO","")))))="PPGE")*ApoioJ+((IFERROR(INDEX(ApoioA,MATCH($B32,ApoioB,0)),IF(COUNTIF(ApoioA,$B32)&gt;0,$B32,IF($B32="RESOLUÇÃO 049/2022-CONSUNI/CPPGEC","CAPPG - Res 49",IF($B32="OUTROS","DIREÇÃO","")))))="PPGEL")*ApoioK+((IFERROR(INDEX(ApoioA,MATCH($B32,ApoioB,0)),IF(COUNTIF(ApoioA,$B32)&gt;0,$B32,IF($B32="RESOLUÇÃO 049/2022-CONSUNI/CPPGEC","CAPPG - Res 49",IF($B32="OUTROS","DIREÇÃO","")))))="PPGH/PPGDH")*ApoioL)),COUNTIFS(ViagensM,ApoioA,ViagensC,"Cancelada",ViagensN,""))&gt;0,"Pendente",SUMPRODUCT((--(ApoioA&lt;&gt;"")*--(((ApoioA=(IFERROR(INDEX(ApoioA,MATCH($B32,ApoioB,0)),IF(COUNTIF(ApoioA,$B32)&gt;0,$B32,IF($B32="RESOLUÇÃO 049/2022-CONSUNI/CPPGEC","CAPPG - Res 49",IF($B32="OUTROS","DIREÇÃO",""))))))+((IFERROR(INDEX(ApoioA,MATCH($B32,ApoioB,0)),IF(COUNTIF(ApoioA,$B32)&gt;0,$B32,IF($B32="RESOLUÇÃO 049/2022-CONSUNI/CPPGEC","CAPPG - Res 49",IF($B32="OUTROS","DIREÇÃO","")))))="DIREÇÃO")*(LEFT(ApoioA,9)="DIREÇÃO -"))&gt;0))+(--(ApoioA="PPGEL +")*(((IFERROR(INDEX(ApoioA,MATCH($B32,ApoioB,0)),IF(COUNTIF(ApoioA,$B32)&gt;0,$B32,IF($B32="RESOLUÇÃO 049/2022-CONSUNI/CPPGEC","CAPPG - Res 49",IF($B32="OUTROS","DIREÇÃO","")))))="PPGE")*ApoioJ+((IFERROR(INDEX(ApoioA,MATCH($B32,ApoioB,0)),IF(COUNTIF(ApoioA,$B32)&gt;0,$B32,IF($B32="RESOLUÇÃO 049/2022-CONSUNI/CPPGEC","CAPPG - Res 49",IF($B32="OUTROS","DIREÇÃO","")))))="PPGEL")*ApoioK+((IFERROR(INDEX(ApoioA,MATCH($B32,ApoioB,0)),IF(COUNTIF(ApoioA,$B32)&gt;0,$B32,IF($B32="RESOLUÇÃO 049/2022-CONSUNI/CPPGEC","CAPPG - Res 49",IF($B32="OUTROS","DIREÇÃO","")))))="PPGH/PPGDH")*ApoioL)),(SUMIFS(ViagensK,ViagensM,ApoioA,ViagensC,"&lt;&gt;Cancelada")+SUMIFS(ViagensK,ViagensM,ApoioA,ViagensC,"Cancelada",ViagensN,"Sim"))))</f>
        <v/>
      </c>
      <c r="G32" s="89">
        <f>IF(AND(ISNUMBER(E32),ISNUMBER(F32)),E32-F32,"Pendente")</f>
        <v/>
      </c>
      <c r="H32" s="70" t="n"/>
      <c r="I32" s="88">
        <f>IF(SUMPRODUCT((--(ApoioA&lt;&gt;"")*--(((ApoioA=(IFERROR(INDEX(ApoioA,MATCH($B32,ApoioB,0)),IF(COUNTIF(ApoioA,$B32)&gt;0,$B32,IF($B32="RESOLUÇÃO 049/2022-CONSUNI/CPPGEC","CAPPG - Res 49",IF($B32="OUTROS","DIREÇÃO",""))))))+((IFERROR(INDEX(ApoioA,MATCH($B32,ApoioB,0)),IF(COUNTIF(ApoioA,$B32)&gt;0,$B32,IF($B32="RESOLUÇÃO 049/2022-CONSUNI/CPPGEC","CAPPG - Res 49",IF($B32="OUTROS","DIREÇÃO","")))))="DIREÇÃO")*(LEFT(ApoioA,9)="DIREÇÃO -"))&gt;0))+(--(ApoioA="PPGEL +")*(((IFERROR(INDEX(ApoioA,MATCH($B32,ApoioB,0)),IF(COUNTIF(ApoioA,$B32)&gt;0,$B32,IF($B32="RESOLUÇÃO 049/2022-CONSUNI/CPPGEC","CAPPG - Res 49",IF($B32="OUTROS","DIREÇÃO","")))))="PPGE")*ApoioJ+((IFERROR(INDEX(ApoioA,MATCH($B32,ApoioB,0)),IF(COUNTIF(ApoioA,$B32)&gt;0,$B32,IF($B32="RESOLUÇÃO 049/2022-CONSUNI/CPPGEC","CAPPG - Res 49",IF($B32="OUTROS","DIREÇÃO","")))))="PPGEL")*ApoioK+((IFERROR(INDEX(ApoioA,MATCH($B32,ApoioB,0)),IF(COUNTIF(ApoioA,$B32)&gt;0,$B32,IF($B32="RESOLUÇÃO 049/2022-CONSUNI/CPPGEC","CAPPG - Res 49",IF($B32="OUTROS","DIREÇÃO","")))))="PPGH/PPGDH")*ApoioL)),--ISNUMBER(ApoioE))=0,"Pendente",SUMPRODUCT((--(ApoioA&lt;&gt;"")*--(((ApoioA=(IFERROR(INDEX(ApoioA,MATCH($B32,ApoioB,0)),IF(COUNTIF(ApoioA,$B32)&gt;0,$B32,IF($B32="RESOLUÇÃO 049/2022-CONSUNI/CPPGEC","CAPPG - Res 49",IF($B32="OUTROS","DIREÇÃO",""))))))+((IFERROR(INDEX(ApoioA,MATCH($B32,ApoioB,0)),IF(COUNTIF(ApoioA,$B32)&gt;0,$B32,IF($B32="RESOLUÇÃO 049/2022-CONSUNI/CPPGEC","CAPPG - Res 49",IF($B32="OUTROS","DIREÇÃO","")))))="DIREÇÃO")*(LEFT(ApoioA,9)="DIREÇÃO -"))&gt;0))+(--(ApoioA="PPGEL +")*(((IFERROR(INDEX(ApoioA,MATCH($B32,ApoioB,0)),IF(COUNTIF(ApoioA,$B32)&gt;0,$B32,IF($B32="RESOLUÇÃO 049/2022-CONSUNI/CPPGEC","CAPPG - Res 49",IF($B32="OUTROS","DIREÇÃO","")))))="PPGE")*ApoioJ+((IFERROR(INDEX(ApoioA,MATCH($B32,ApoioB,0)),IF(COUNTIF(ApoioA,$B32)&gt;0,$B32,IF($B32="RESOLUÇÃO 049/2022-CONSUNI/CPPGEC","CAPPG - Res 49",IF($B32="OUTROS","DIREÇÃO","")))))="PPGEL")*ApoioK+((IFERROR(INDEX(ApoioA,MATCH($B32,ApoioB,0)),IF(COUNTIF(ApoioA,$B32)&gt;0,$B32,IF($B32="RESOLUÇÃO 049/2022-CONSUNI/CPPGEC","CAPPG - Res 49",IF($B32="OUTROS","DIREÇÃO","")))))="PPGH/PPGDH")*ApoioL)),ApoioE))</f>
        <v/>
      </c>
      <c r="J32" s="89">
        <f>IF(SUMPRODUCT((--(ApoioA&lt;&gt;"")*--(((ApoioA=(IFERROR(INDEX(ApoioA,MATCH($B32,ApoioB,0)),IF(COUNTIF(ApoioA,$B32)&gt;0,$B32,IF($B32="RESOLUÇÃO 049/2022-CONSUNI/CPPGEC","CAPPG - Res 49",IF($B32="OUTROS","DIREÇÃO",""))))))+((IFERROR(INDEX(ApoioA,MATCH($B32,ApoioB,0)),IF(COUNTIF(ApoioA,$B32)&gt;0,$B32,IF($B32="RESOLUÇÃO 049/2022-CONSUNI/CPPGEC","CAPPG - Res 49",IF($B32="OUTROS","DIREÇÃO","")))))="DIREÇÃO")*(LEFT(ApoioA,9)="DIREÇÃO -"))&gt;0))+(--(ApoioA="PPGEL +")*(((IFERROR(INDEX(ApoioA,MATCH($B32,ApoioB,0)),IF(COUNTIF(ApoioA,$B32)&gt;0,$B32,IF($B32="RESOLUÇÃO 049/2022-CONSUNI/CPPGEC","CAPPG - Res 49",IF($B32="OUTROS","DIREÇÃO","")))))="PPGE")*ApoioJ+((IFERROR(INDEX(ApoioA,MATCH($B32,ApoioB,0)),IF(COUNTIF(ApoioA,$B32)&gt;0,$B32,IF($B32="RESOLUÇÃO 049/2022-CONSUNI/CPPGEC","CAPPG - Res 49",IF($B32="OUTROS","DIREÇÃO","")))))="PPGEL")*ApoioK+((IFERROR(INDEX(ApoioA,MATCH($B32,ApoioB,0)),IF(COUNTIF(ApoioA,$B32)&gt;0,$B32,IF($B32="RESOLUÇÃO 049/2022-CONSUNI/CPPGEC","CAPPG - Res 49",IF($B32="OUTROS","DIREÇÃO","")))))="PPGH/PPGDH")*ApoioL)),--ISNUMBER(ApoioG))=0,"Pendente",SUMPRODUCT((--(ApoioA&lt;&gt;"")*--(((ApoioA=(IFERROR(INDEX(ApoioA,MATCH($B32,ApoioB,0)),IF(COUNTIF(ApoioA,$B32)&gt;0,$B32,IF($B32="RESOLUÇÃO 049/2022-CONSUNI/CPPGEC","CAPPG - Res 49",IF($B32="OUTROS","DIREÇÃO",""))))))+((IFERROR(INDEX(ApoioA,MATCH($B32,ApoioB,0)),IF(COUNTIF(ApoioA,$B32)&gt;0,$B32,IF($B32="RESOLUÇÃO 049/2022-CONSUNI/CPPGEC","CAPPG - Res 49",IF($B32="OUTROS","DIREÇÃO","")))))="DIREÇÃO")*(LEFT(ApoioA,9)="DIREÇÃO -"))&gt;0))+(--(ApoioA="PPGEL +")*(((IFERROR(INDEX(ApoioA,MATCH($B32,ApoioB,0)),IF(COUNTIF(ApoioA,$B32)&gt;0,$B32,IF($B32="RESOLUÇÃO 049/2022-CONSUNI/CPPGEC","CAPPG - Res 49",IF($B32="OUTROS","DIREÇÃO","")))))="PPGE")*ApoioJ+((IFERROR(INDEX(ApoioA,MATCH($B32,ApoioB,0)),IF(COUNTIF(ApoioA,$B32)&gt;0,$B32,IF($B32="RESOLUÇÃO 049/2022-CONSUNI/CPPGEC","CAPPG - Res 49",IF($B32="OUTROS","DIREÇÃO","")))))="PPGEL")*ApoioK+((IFERROR(INDEX(ApoioA,MATCH($B32,ApoioB,0)),IF(COUNTIF(ApoioA,$B32)&gt;0,$B32,IF($B32="RESOLUÇÃO 049/2022-CONSUNI/CPPGEC","CAPPG - Res 49",IF($B32="OUTROS","DIREÇÃO","")))))="PPGH/PPGDH")*ApoioL)),ApoioG))</f>
        <v/>
      </c>
      <c r="K32" s="89">
        <f>IF(AND(ISNUMBER(I32),ISNUMBER(J32)),I32-J32,"Pendente")</f>
        <v/>
      </c>
      <c r="L32" s="70" t="n"/>
      <c r="M32" s="89">
        <f>IF(AND(ISNUMBER(G32),ISNUMBER(K32)),G32+K32,"Pendente")</f>
        <v/>
      </c>
      <c r="O32" s="67" t="inlineStr">
        <is>
          <t>Grupo principal</t>
        </is>
      </c>
      <c r="P32" s="67">
        <f>B32</f>
        <v/>
      </c>
    </row>
    <row r="33" ht="15" customHeight="1" s="61">
      <c r="A33" s="69" t="n"/>
      <c r="B33" s="87" t="inlineStr">
        <is>
          <t>Mestrado Profissional em Administração Pública em Rede Nacional</t>
        </is>
      </c>
      <c r="C33" s="88">
        <f>IF(AND(ISNUMBER(E33),ISNUMBER(I33)),E33+I33,"Pendente")</f>
        <v/>
      </c>
      <c r="D33" s="70" t="n"/>
      <c r="E33" s="88">
        <f>IF(SUMPRODUCT((--(ApoioA&lt;&gt;"")*--(((ApoioA=(IFERROR(INDEX(ApoioA,MATCH($B33,ApoioB,0)),IF(COUNTIF(ApoioA,$B33)&gt;0,$B33,IF($B33="RESOLUÇÃO 049/2022-CONSUNI/CPPGEC","CAPPG - Res 49",IF($B33="OUTROS","DIREÇÃO",""))))))+((IFERROR(INDEX(ApoioA,MATCH($B33,ApoioB,0)),IF(COUNTIF(ApoioA,$B33)&gt;0,$B33,IF($B33="RESOLUÇÃO 049/2022-CONSUNI/CPPGEC","CAPPG - Res 49",IF($B33="OUTROS","DIREÇÃO","")))))="DIREÇÃO")*(LEFT(ApoioA,9)="DIREÇÃO -"))&gt;0))+(--(ApoioA="PPGEL +")*(((IFERROR(INDEX(ApoioA,MATCH($B33,ApoioB,0)),IF(COUNTIF(ApoioA,$B33)&gt;0,$B33,IF($B33="RESOLUÇÃO 049/2022-CONSUNI/CPPGEC","CAPPG - Res 49",IF($B33="OUTROS","DIREÇÃO","")))))="PPGE")*ApoioJ+((IFERROR(INDEX(ApoioA,MATCH($B33,ApoioB,0)),IF(COUNTIF(ApoioA,$B33)&gt;0,$B33,IF($B33="RESOLUÇÃO 049/2022-CONSUNI/CPPGEC","CAPPG - Res 49",IF($B33="OUTROS","DIREÇÃO","")))))="PPGEL")*ApoioK+((IFERROR(INDEX(ApoioA,MATCH($B33,ApoioB,0)),IF(COUNTIF(ApoioA,$B33)&gt;0,$B33,IF($B33="RESOLUÇÃO 049/2022-CONSUNI/CPPGEC","CAPPG - Res 49",IF($B33="OUTROS","DIREÇÃO","")))))="PPGH/PPGDH")*ApoioL)),--ISNUMBER(ApoioD))=0,"Pendente",SUMPRODUCT((--(ApoioA&lt;&gt;"")*--(((ApoioA=(IFERROR(INDEX(ApoioA,MATCH($B33,ApoioB,0)),IF(COUNTIF(ApoioA,$B33)&gt;0,$B33,IF($B33="RESOLUÇÃO 049/2022-CONSUNI/CPPGEC","CAPPG - Res 49",IF($B33="OUTROS","DIREÇÃO",""))))))+((IFERROR(INDEX(ApoioA,MATCH($B33,ApoioB,0)),IF(COUNTIF(ApoioA,$B33)&gt;0,$B33,IF($B33="RESOLUÇÃO 049/2022-CONSUNI/CPPGEC","CAPPG - Res 49",IF($B33="OUTROS","DIREÇÃO","")))))="DIREÇÃO")*(LEFT(ApoioA,9)="DIREÇÃO -"))&gt;0))+(--(ApoioA="PPGEL +")*(((IFERROR(INDEX(ApoioA,MATCH($B33,ApoioB,0)),IF(COUNTIF(ApoioA,$B33)&gt;0,$B33,IF($B33="RESOLUÇÃO 049/2022-CONSUNI/CPPGEC","CAPPG - Res 49",IF($B33="OUTROS","DIREÇÃO","")))))="PPGE")*ApoioJ+((IFERROR(INDEX(ApoioA,MATCH($B33,ApoioB,0)),IF(COUNTIF(ApoioA,$B33)&gt;0,$B33,IF($B33="RESOLUÇÃO 049/2022-CONSUNI/CPPGEC","CAPPG - Res 49",IF($B33="OUTROS","DIREÇÃO","")))))="PPGEL")*ApoioK+((IFERROR(INDEX(ApoioA,MATCH($B33,ApoioB,0)),IF(COUNTIF(ApoioA,$B33)&gt;0,$B33,IF($B33="RESOLUÇÃO 049/2022-CONSUNI/CPPGEC","CAPPG - Res 49",IF($B33="OUTROS","DIREÇÃO","")))))="PPGH/PPGDH")*ApoioL)),ApoioD))</f>
        <v/>
      </c>
      <c r="F33" s="89">
        <f>IF(SUMPRODUCT((--(ApoioA&lt;&gt;"")*--(((ApoioA=(IFERROR(INDEX(ApoioA,MATCH($B33,ApoioB,0)),IF(COUNTIF(ApoioA,$B33)&gt;0,$B33,IF($B33="RESOLUÇÃO 049/2022-CONSUNI/CPPGEC","CAPPG - Res 49",IF($B33="OUTROS","DIREÇÃO",""))))))+((IFERROR(INDEX(ApoioA,MATCH($B33,ApoioB,0)),IF(COUNTIF(ApoioA,$B33)&gt;0,$B33,IF($B33="RESOLUÇÃO 049/2022-CONSUNI/CPPGEC","CAPPG - Res 49",IF($B33="OUTROS","DIREÇÃO","")))))="DIREÇÃO")*(LEFT(ApoioA,9)="DIREÇÃO -"))&gt;0))+(--(ApoioA="PPGEL +")*(((IFERROR(INDEX(ApoioA,MATCH($B33,ApoioB,0)),IF(COUNTIF(ApoioA,$B33)&gt;0,$B33,IF($B33="RESOLUÇÃO 049/2022-CONSUNI/CPPGEC","CAPPG - Res 49",IF($B33="OUTROS","DIREÇÃO","")))))="PPGE")*ApoioJ+((IFERROR(INDEX(ApoioA,MATCH($B33,ApoioB,0)),IF(COUNTIF(ApoioA,$B33)&gt;0,$B33,IF($B33="RESOLUÇÃO 049/2022-CONSUNI/CPPGEC","CAPPG - Res 49",IF($B33="OUTROS","DIREÇÃO","")))))="PPGEL")*ApoioK+((IFERROR(INDEX(ApoioA,MATCH($B33,ApoioB,0)),IF(COUNTIF(ApoioA,$B33)&gt;0,$B33,IF($B33="RESOLUÇÃO 049/2022-CONSUNI/CPPGEC","CAPPG - Res 49",IF($B33="OUTROS","DIREÇÃO","")))))="PPGH/PPGDH")*ApoioL)),COUNTIFS(ViagensM,ApoioA,ViagensC,"Cancelada",ViagensN,""))&gt;0,"Pendente",SUMPRODUCT((--(ApoioA&lt;&gt;"")*--(((ApoioA=(IFERROR(INDEX(ApoioA,MATCH($B33,ApoioB,0)),IF(COUNTIF(ApoioA,$B33)&gt;0,$B33,IF($B33="RESOLUÇÃO 049/2022-CONSUNI/CPPGEC","CAPPG - Res 49",IF($B33="OUTROS","DIREÇÃO",""))))))+((IFERROR(INDEX(ApoioA,MATCH($B33,ApoioB,0)),IF(COUNTIF(ApoioA,$B33)&gt;0,$B33,IF($B33="RESOLUÇÃO 049/2022-CONSUNI/CPPGEC","CAPPG - Res 49",IF($B33="OUTROS","DIREÇÃO","")))))="DIREÇÃO")*(LEFT(ApoioA,9)="DIREÇÃO -"))&gt;0))+(--(ApoioA="PPGEL +")*(((IFERROR(INDEX(ApoioA,MATCH($B33,ApoioB,0)),IF(COUNTIF(ApoioA,$B33)&gt;0,$B33,IF($B33="RESOLUÇÃO 049/2022-CONSUNI/CPPGEC","CAPPG - Res 49",IF($B33="OUTROS","DIREÇÃO","")))))="PPGE")*ApoioJ+((IFERROR(INDEX(ApoioA,MATCH($B33,ApoioB,0)),IF(COUNTIF(ApoioA,$B33)&gt;0,$B33,IF($B33="RESOLUÇÃO 049/2022-CONSUNI/CPPGEC","CAPPG - Res 49",IF($B33="OUTROS","DIREÇÃO","")))))="PPGEL")*ApoioK+((IFERROR(INDEX(ApoioA,MATCH($B33,ApoioB,0)),IF(COUNTIF(ApoioA,$B33)&gt;0,$B33,IF($B33="RESOLUÇÃO 049/2022-CONSUNI/CPPGEC","CAPPG - Res 49",IF($B33="OUTROS","DIREÇÃO","")))))="PPGH/PPGDH")*ApoioL)),(SUMIFS(ViagensK,ViagensM,ApoioA,ViagensC,"&lt;&gt;Cancelada")+SUMIFS(ViagensK,ViagensM,ApoioA,ViagensC,"Cancelada",ViagensN,"Sim"))))</f>
        <v/>
      </c>
      <c r="G33" s="89">
        <f>IF(AND(ISNUMBER(E33),ISNUMBER(F33)),E33-F33,"Pendente")</f>
        <v/>
      </c>
      <c r="H33" s="70" t="n"/>
      <c r="I33" s="88">
        <f>IF(SUMPRODUCT((--(ApoioA&lt;&gt;"")*--(((ApoioA=(IFERROR(INDEX(ApoioA,MATCH($B33,ApoioB,0)),IF(COUNTIF(ApoioA,$B33)&gt;0,$B33,IF($B33="RESOLUÇÃO 049/2022-CONSUNI/CPPGEC","CAPPG - Res 49",IF($B33="OUTROS","DIREÇÃO",""))))))+((IFERROR(INDEX(ApoioA,MATCH($B33,ApoioB,0)),IF(COUNTIF(ApoioA,$B33)&gt;0,$B33,IF($B33="RESOLUÇÃO 049/2022-CONSUNI/CPPGEC","CAPPG - Res 49",IF($B33="OUTROS","DIREÇÃO","")))))="DIREÇÃO")*(LEFT(ApoioA,9)="DIREÇÃO -"))&gt;0))+(--(ApoioA="PPGEL +")*(((IFERROR(INDEX(ApoioA,MATCH($B33,ApoioB,0)),IF(COUNTIF(ApoioA,$B33)&gt;0,$B33,IF($B33="RESOLUÇÃO 049/2022-CONSUNI/CPPGEC","CAPPG - Res 49",IF($B33="OUTROS","DIREÇÃO","")))))="PPGE")*ApoioJ+((IFERROR(INDEX(ApoioA,MATCH($B33,ApoioB,0)),IF(COUNTIF(ApoioA,$B33)&gt;0,$B33,IF($B33="RESOLUÇÃO 049/2022-CONSUNI/CPPGEC","CAPPG - Res 49",IF($B33="OUTROS","DIREÇÃO","")))))="PPGEL")*ApoioK+((IFERROR(INDEX(ApoioA,MATCH($B33,ApoioB,0)),IF(COUNTIF(ApoioA,$B33)&gt;0,$B33,IF($B33="RESOLUÇÃO 049/2022-CONSUNI/CPPGEC","CAPPG - Res 49",IF($B33="OUTROS","DIREÇÃO","")))))="PPGH/PPGDH")*ApoioL)),--ISNUMBER(ApoioE))=0,"Pendente",SUMPRODUCT((--(ApoioA&lt;&gt;"")*--(((ApoioA=(IFERROR(INDEX(ApoioA,MATCH($B33,ApoioB,0)),IF(COUNTIF(ApoioA,$B33)&gt;0,$B33,IF($B33="RESOLUÇÃO 049/2022-CONSUNI/CPPGEC","CAPPG - Res 49",IF($B33="OUTROS","DIREÇÃO",""))))))+((IFERROR(INDEX(ApoioA,MATCH($B33,ApoioB,0)),IF(COUNTIF(ApoioA,$B33)&gt;0,$B33,IF($B33="RESOLUÇÃO 049/2022-CONSUNI/CPPGEC","CAPPG - Res 49",IF($B33="OUTROS","DIREÇÃO","")))))="DIREÇÃO")*(LEFT(ApoioA,9)="DIREÇÃO -"))&gt;0))+(--(ApoioA="PPGEL +")*(((IFERROR(INDEX(ApoioA,MATCH($B33,ApoioB,0)),IF(COUNTIF(ApoioA,$B33)&gt;0,$B33,IF($B33="RESOLUÇÃO 049/2022-CONSUNI/CPPGEC","CAPPG - Res 49",IF($B33="OUTROS","DIREÇÃO","")))))="PPGE")*ApoioJ+((IFERROR(INDEX(ApoioA,MATCH($B33,ApoioB,0)),IF(COUNTIF(ApoioA,$B33)&gt;0,$B33,IF($B33="RESOLUÇÃO 049/2022-CONSUNI/CPPGEC","CAPPG - Res 49",IF($B33="OUTROS","DIREÇÃO","")))))="PPGEL")*ApoioK+((IFERROR(INDEX(ApoioA,MATCH($B33,ApoioB,0)),IF(COUNTIF(ApoioA,$B33)&gt;0,$B33,IF($B33="RESOLUÇÃO 049/2022-CONSUNI/CPPGEC","CAPPG - Res 49",IF($B33="OUTROS","DIREÇÃO","")))))="PPGH/PPGDH")*ApoioL)),ApoioE))</f>
        <v/>
      </c>
      <c r="J33" s="89">
        <f>IF(SUMPRODUCT((--(ApoioA&lt;&gt;"")*--(((ApoioA=(IFERROR(INDEX(ApoioA,MATCH($B33,ApoioB,0)),IF(COUNTIF(ApoioA,$B33)&gt;0,$B33,IF($B33="RESOLUÇÃO 049/2022-CONSUNI/CPPGEC","CAPPG - Res 49",IF($B33="OUTROS","DIREÇÃO",""))))))+((IFERROR(INDEX(ApoioA,MATCH($B33,ApoioB,0)),IF(COUNTIF(ApoioA,$B33)&gt;0,$B33,IF($B33="RESOLUÇÃO 049/2022-CONSUNI/CPPGEC","CAPPG - Res 49",IF($B33="OUTROS","DIREÇÃO","")))))="DIREÇÃO")*(LEFT(ApoioA,9)="DIREÇÃO -"))&gt;0))+(--(ApoioA="PPGEL +")*(((IFERROR(INDEX(ApoioA,MATCH($B33,ApoioB,0)),IF(COUNTIF(ApoioA,$B33)&gt;0,$B33,IF($B33="RESOLUÇÃO 049/2022-CONSUNI/CPPGEC","CAPPG - Res 49",IF($B33="OUTROS","DIREÇÃO","")))))="PPGE")*ApoioJ+((IFERROR(INDEX(ApoioA,MATCH($B33,ApoioB,0)),IF(COUNTIF(ApoioA,$B33)&gt;0,$B33,IF($B33="RESOLUÇÃO 049/2022-CONSUNI/CPPGEC","CAPPG - Res 49",IF($B33="OUTROS","DIREÇÃO","")))))="PPGEL")*ApoioK+((IFERROR(INDEX(ApoioA,MATCH($B33,ApoioB,0)),IF(COUNTIF(ApoioA,$B33)&gt;0,$B33,IF($B33="RESOLUÇÃO 049/2022-CONSUNI/CPPGEC","CAPPG - Res 49",IF($B33="OUTROS","DIREÇÃO","")))))="PPGH/PPGDH")*ApoioL)),--ISNUMBER(ApoioG))=0,"Pendente",SUMPRODUCT((--(ApoioA&lt;&gt;"")*--(((ApoioA=(IFERROR(INDEX(ApoioA,MATCH($B33,ApoioB,0)),IF(COUNTIF(ApoioA,$B33)&gt;0,$B33,IF($B33="RESOLUÇÃO 049/2022-CONSUNI/CPPGEC","CAPPG - Res 49",IF($B33="OUTROS","DIREÇÃO",""))))))+((IFERROR(INDEX(ApoioA,MATCH($B33,ApoioB,0)),IF(COUNTIF(ApoioA,$B33)&gt;0,$B33,IF($B33="RESOLUÇÃO 049/2022-CONSUNI/CPPGEC","CAPPG - Res 49",IF($B33="OUTROS","DIREÇÃO","")))))="DIREÇÃO")*(LEFT(ApoioA,9)="DIREÇÃO -"))&gt;0))+(--(ApoioA="PPGEL +")*(((IFERROR(INDEX(ApoioA,MATCH($B33,ApoioB,0)),IF(COUNTIF(ApoioA,$B33)&gt;0,$B33,IF($B33="RESOLUÇÃO 049/2022-CONSUNI/CPPGEC","CAPPG - Res 49",IF($B33="OUTROS","DIREÇÃO","")))))="PPGE")*ApoioJ+((IFERROR(INDEX(ApoioA,MATCH($B33,ApoioB,0)),IF(COUNTIF(ApoioA,$B33)&gt;0,$B33,IF($B33="RESOLUÇÃO 049/2022-CONSUNI/CPPGEC","CAPPG - Res 49",IF($B33="OUTROS","DIREÇÃO","")))))="PPGEL")*ApoioK+((IFERROR(INDEX(ApoioA,MATCH($B33,ApoioB,0)),IF(COUNTIF(ApoioA,$B33)&gt;0,$B33,IF($B33="RESOLUÇÃO 049/2022-CONSUNI/CPPGEC","CAPPG - Res 49",IF($B33="OUTROS","DIREÇÃO","")))))="PPGH/PPGDH")*ApoioL)),ApoioG))</f>
        <v/>
      </c>
      <c r="K33" s="89">
        <f>IF(AND(ISNUMBER(I33),ISNUMBER(J33)),I33-J33,"Pendente")</f>
        <v/>
      </c>
      <c r="L33" s="70" t="n"/>
      <c r="M33" s="89">
        <f>IF(AND(ISNUMBER(G33),ISNUMBER(K33)),G33+K33,"Pendente")</f>
        <v/>
      </c>
      <c r="O33" s="67" t="inlineStr">
        <is>
          <t>Grupo principal</t>
        </is>
      </c>
      <c r="P33" s="67">
        <f>B33</f>
        <v/>
      </c>
    </row>
    <row r="34" ht="15" customHeight="1" s="61">
      <c r="A34" s="69" t="n"/>
      <c r="B34" s="87" t="inlineStr">
        <is>
          <t>Mestrado Profissional em Matemática em Rede Nacional</t>
        </is>
      </c>
      <c r="C34" s="88">
        <f>IF(AND(ISNUMBER(E34),ISNUMBER(I34)),E34+I34,"Pendente")</f>
        <v/>
      </c>
      <c r="D34" s="70" t="n"/>
      <c r="E34" s="88">
        <f>IF(SUMPRODUCT((--(ApoioA&lt;&gt;"")*--(((ApoioA=(IFERROR(INDEX(ApoioA,MATCH($B34,ApoioB,0)),IF(COUNTIF(ApoioA,$B34)&gt;0,$B34,IF($B34="RESOLUÇÃO 049/2022-CONSUNI/CPPGEC","CAPPG - Res 49",IF($B34="OUTROS","DIREÇÃO",""))))))+((IFERROR(INDEX(ApoioA,MATCH($B34,ApoioB,0)),IF(COUNTIF(ApoioA,$B34)&gt;0,$B34,IF($B34="RESOLUÇÃO 049/2022-CONSUNI/CPPGEC","CAPPG - Res 49",IF($B34="OUTROS","DIREÇÃO","")))))="DIREÇÃO")*(LEFT(ApoioA,9)="DIREÇÃO -"))&gt;0))+(--(ApoioA="PPGEL +")*(((IFERROR(INDEX(ApoioA,MATCH($B34,ApoioB,0)),IF(COUNTIF(ApoioA,$B34)&gt;0,$B34,IF($B34="RESOLUÇÃO 049/2022-CONSUNI/CPPGEC","CAPPG - Res 49",IF($B34="OUTROS","DIREÇÃO","")))))="PPGE")*ApoioJ+((IFERROR(INDEX(ApoioA,MATCH($B34,ApoioB,0)),IF(COUNTIF(ApoioA,$B34)&gt;0,$B34,IF($B34="RESOLUÇÃO 049/2022-CONSUNI/CPPGEC","CAPPG - Res 49",IF($B34="OUTROS","DIREÇÃO","")))))="PPGEL")*ApoioK+((IFERROR(INDEX(ApoioA,MATCH($B34,ApoioB,0)),IF(COUNTIF(ApoioA,$B34)&gt;0,$B34,IF($B34="RESOLUÇÃO 049/2022-CONSUNI/CPPGEC","CAPPG - Res 49",IF($B34="OUTROS","DIREÇÃO","")))))="PPGH/PPGDH")*ApoioL)),--ISNUMBER(ApoioD))=0,"Pendente",SUMPRODUCT((--(ApoioA&lt;&gt;"")*--(((ApoioA=(IFERROR(INDEX(ApoioA,MATCH($B34,ApoioB,0)),IF(COUNTIF(ApoioA,$B34)&gt;0,$B34,IF($B34="RESOLUÇÃO 049/2022-CONSUNI/CPPGEC","CAPPG - Res 49",IF($B34="OUTROS","DIREÇÃO",""))))))+((IFERROR(INDEX(ApoioA,MATCH($B34,ApoioB,0)),IF(COUNTIF(ApoioA,$B34)&gt;0,$B34,IF($B34="RESOLUÇÃO 049/2022-CONSUNI/CPPGEC","CAPPG - Res 49",IF($B34="OUTROS","DIREÇÃO","")))))="DIREÇÃO")*(LEFT(ApoioA,9)="DIREÇÃO -"))&gt;0))+(--(ApoioA="PPGEL +")*(((IFERROR(INDEX(ApoioA,MATCH($B34,ApoioB,0)),IF(COUNTIF(ApoioA,$B34)&gt;0,$B34,IF($B34="RESOLUÇÃO 049/2022-CONSUNI/CPPGEC","CAPPG - Res 49",IF($B34="OUTROS","DIREÇÃO","")))))="PPGE")*ApoioJ+((IFERROR(INDEX(ApoioA,MATCH($B34,ApoioB,0)),IF(COUNTIF(ApoioA,$B34)&gt;0,$B34,IF($B34="RESOLUÇÃO 049/2022-CONSUNI/CPPGEC","CAPPG - Res 49",IF($B34="OUTROS","DIREÇÃO","")))))="PPGEL")*ApoioK+((IFERROR(INDEX(ApoioA,MATCH($B34,ApoioB,0)),IF(COUNTIF(ApoioA,$B34)&gt;0,$B34,IF($B34="RESOLUÇÃO 049/2022-CONSUNI/CPPGEC","CAPPG - Res 49",IF($B34="OUTROS","DIREÇÃO","")))))="PPGH/PPGDH")*ApoioL)),ApoioD))</f>
        <v/>
      </c>
      <c r="F34" s="89">
        <f>IF(SUMPRODUCT((--(ApoioA&lt;&gt;"")*--(((ApoioA=(IFERROR(INDEX(ApoioA,MATCH($B34,ApoioB,0)),IF(COUNTIF(ApoioA,$B34)&gt;0,$B34,IF($B34="RESOLUÇÃO 049/2022-CONSUNI/CPPGEC","CAPPG - Res 49",IF($B34="OUTROS","DIREÇÃO",""))))))+((IFERROR(INDEX(ApoioA,MATCH($B34,ApoioB,0)),IF(COUNTIF(ApoioA,$B34)&gt;0,$B34,IF($B34="RESOLUÇÃO 049/2022-CONSUNI/CPPGEC","CAPPG - Res 49",IF($B34="OUTROS","DIREÇÃO","")))))="DIREÇÃO")*(LEFT(ApoioA,9)="DIREÇÃO -"))&gt;0))+(--(ApoioA="PPGEL +")*(((IFERROR(INDEX(ApoioA,MATCH($B34,ApoioB,0)),IF(COUNTIF(ApoioA,$B34)&gt;0,$B34,IF($B34="RESOLUÇÃO 049/2022-CONSUNI/CPPGEC","CAPPG - Res 49",IF($B34="OUTROS","DIREÇÃO","")))))="PPGE")*ApoioJ+((IFERROR(INDEX(ApoioA,MATCH($B34,ApoioB,0)),IF(COUNTIF(ApoioA,$B34)&gt;0,$B34,IF($B34="RESOLUÇÃO 049/2022-CONSUNI/CPPGEC","CAPPG - Res 49",IF($B34="OUTROS","DIREÇÃO","")))))="PPGEL")*ApoioK+((IFERROR(INDEX(ApoioA,MATCH($B34,ApoioB,0)),IF(COUNTIF(ApoioA,$B34)&gt;0,$B34,IF($B34="RESOLUÇÃO 049/2022-CONSUNI/CPPGEC","CAPPG - Res 49",IF($B34="OUTROS","DIREÇÃO","")))))="PPGH/PPGDH")*ApoioL)),COUNTIFS(ViagensM,ApoioA,ViagensC,"Cancelada",ViagensN,""))&gt;0,"Pendente",SUMPRODUCT((--(ApoioA&lt;&gt;"")*--(((ApoioA=(IFERROR(INDEX(ApoioA,MATCH($B34,ApoioB,0)),IF(COUNTIF(ApoioA,$B34)&gt;0,$B34,IF($B34="RESOLUÇÃO 049/2022-CONSUNI/CPPGEC","CAPPG - Res 49",IF($B34="OUTROS","DIREÇÃO",""))))))+((IFERROR(INDEX(ApoioA,MATCH($B34,ApoioB,0)),IF(COUNTIF(ApoioA,$B34)&gt;0,$B34,IF($B34="RESOLUÇÃO 049/2022-CONSUNI/CPPGEC","CAPPG - Res 49",IF($B34="OUTROS","DIREÇÃO","")))))="DIREÇÃO")*(LEFT(ApoioA,9)="DIREÇÃO -"))&gt;0))+(--(ApoioA="PPGEL +")*(((IFERROR(INDEX(ApoioA,MATCH($B34,ApoioB,0)),IF(COUNTIF(ApoioA,$B34)&gt;0,$B34,IF($B34="RESOLUÇÃO 049/2022-CONSUNI/CPPGEC","CAPPG - Res 49",IF($B34="OUTROS","DIREÇÃO","")))))="PPGE")*ApoioJ+((IFERROR(INDEX(ApoioA,MATCH($B34,ApoioB,0)),IF(COUNTIF(ApoioA,$B34)&gt;0,$B34,IF($B34="RESOLUÇÃO 049/2022-CONSUNI/CPPGEC","CAPPG - Res 49",IF($B34="OUTROS","DIREÇÃO","")))))="PPGEL")*ApoioK+((IFERROR(INDEX(ApoioA,MATCH($B34,ApoioB,0)),IF(COUNTIF(ApoioA,$B34)&gt;0,$B34,IF($B34="RESOLUÇÃO 049/2022-CONSUNI/CPPGEC","CAPPG - Res 49",IF($B34="OUTROS","DIREÇÃO","")))))="PPGH/PPGDH")*ApoioL)),(SUMIFS(ViagensK,ViagensM,ApoioA,ViagensC,"&lt;&gt;Cancelada")+SUMIFS(ViagensK,ViagensM,ApoioA,ViagensC,"Cancelada",ViagensN,"Sim"))))</f>
        <v/>
      </c>
      <c r="G34" s="89">
        <f>IF(AND(ISNUMBER(E34),ISNUMBER(F34)),E34-F34,"Pendente")</f>
        <v/>
      </c>
      <c r="H34" s="70" t="n"/>
      <c r="I34" s="88">
        <f>IF(SUMPRODUCT((--(ApoioA&lt;&gt;"")*--(((ApoioA=(IFERROR(INDEX(ApoioA,MATCH($B34,ApoioB,0)),IF(COUNTIF(ApoioA,$B34)&gt;0,$B34,IF($B34="RESOLUÇÃO 049/2022-CONSUNI/CPPGEC","CAPPG - Res 49",IF($B34="OUTROS","DIREÇÃO",""))))))+((IFERROR(INDEX(ApoioA,MATCH($B34,ApoioB,0)),IF(COUNTIF(ApoioA,$B34)&gt;0,$B34,IF($B34="RESOLUÇÃO 049/2022-CONSUNI/CPPGEC","CAPPG - Res 49",IF($B34="OUTROS","DIREÇÃO","")))))="DIREÇÃO")*(LEFT(ApoioA,9)="DIREÇÃO -"))&gt;0))+(--(ApoioA="PPGEL +")*(((IFERROR(INDEX(ApoioA,MATCH($B34,ApoioB,0)),IF(COUNTIF(ApoioA,$B34)&gt;0,$B34,IF($B34="RESOLUÇÃO 049/2022-CONSUNI/CPPGEC","CAPPG - Res 49",IF($B34="OUTROS","DIREÇÃO","")))))="PPGE")*ApoioJ+((IFERROR(INDEX(ApoioA,MATCH($B34,ApoioB,0)),IF(COUNTIF(ApoioA,$B34)&gt;0,$B34,IF($B34="RESOLUÇÃO 049/2022-CONSUNI/CPPGEC","CAPPG - Res 49",IF($B34="OUTROS","DIREÇÃO","")))))="PPGEL")*ApoioK+((IFERROR(INDEX(ApoioA,MATCH($B34,ApoioB,0)),IF(COUNTIF(ApoioA,$B34)&gt;0,$B34,IF($B34="RESOLUÇÃO 049/2022-CONSUNI/CPPGEC","CAPPG - Res 49",IF($B34="OUTROS","DIREÇÃO","")))))="PPGH/PPGDH")*ApoioL)),--ISNUMBER(ApoioE))=0,"Pendente",SUMPRODUCT((--(ApoioA&lt;&gt;"")*--(((ApoioA=(IFERROR(INDEX(ApoioA,MATCH($B34,ApoioB,0)),IF(COUNTIF(ApoioA,$B34)&gt;0,$B34,IF($B34="RESOLUÇÃO 049/2022-CONSUNI/CPPGEC","CAPPG - Res 49",IF($B34="OUTROS","DIREÇÃO",""))))))+((IFERROR(INDEX(ApoioA,MATCH($B34,ApoioB,0)),IF(COUNTIF(ApoioA,$B34)&gt;0,$B34,IF($B34="RESOLUÇÃO 049/2022-CONSUNI/CPPGEC","CAPPG - Res 49",IF($B34="OUTROS","DIREÇÃO","")))))="DIREÇÃO")*(LEFT(ApoioA,9)="DIREÇÃO -"))&gt;0))+(--(ApoioA="PPGEL +")*(((IFERROR(INDEX(ApoioA,MATCH($B34,ApoioB,0)),IF(COUNTIF(ApoioA,$B34)&gt;0,$B34,IF($B34="RESOLUÇÃO 049/2022-CONSUNI/CPPGEC","CAPPG - Res 49",IF($B34="OUTROS","DIREÇÃO","")))))="PPGE")*ApoioJ+((IFERROR(INDEX(ApoioA,MATCH($B34,ApoioB,0)),IF(COUNTIF(ApoioA,$B34)&gt;0,$B34,IF($B34="RESOLUÇÃO 049/2022-CONSUNI/CPPGEC","CAPPG - Res 49",IF($B34="OUTROS","DIREÇÃO","")))))="PPGEL")*ApoioK+((IFERROR(INDEX(ApoioA,MATCH($B34,ApoioB,0)),IF(COUNTIF(ApoioA,$B34)&gt;0,$B34,IF($B34="RESOLUÇÃO 049/2022-CONSUNI/CPPGEC","CAPPG - Res 49",IF($B34="OUTROS","DIREÇÃO","")))))="PPGH/PPGDH")*ApoioL)),ApoioE))</f>
        <v/>
      </c>
      <c r="J34" s="89">
        <f>IF(SUMPRODUCT((--(ApoioA&lt;&gt;"")*--(((ApoioA=(IFERROR(INDEX(ApoioA,MATCH($B34,ApoioB,0)),IF(COUNTIF(ApoioA,$B34)&gt;0,$B34,IF($B34="RESOLUÇÃO 049/2022-CONSUNI/CPPGEC","CAPPG - Res 49",IF($B34="OUTROS","DIREÇÃO",""))))))+((IFERROR(INDEX(ApoioA,MATCH($B34,ApoioB,0)),IF(COUNTIF(ApoioA,$B34)&gt;0,$B34,IF($B34="RESOLUÇÃO 049/2022-CONSUNI/CPPGEC","CAPPG - Res 49",IF($B34="OUTROS","DIREÇÃO","")))))="DIREÇÃO")*(LEFT(ApoioA,9)="DIREÇÃO -"))&gt;0))+(--(ApoioA="PPGEL +")*(((IFERROR(INDEX(ApoioA,MATCH($B34,ApoioB,0)),IF(COUNTIF(ApoioA,$B34)&gt;0,$B34,IF($B34="RESOLUÇÃO 049/2022-CONSUNI/CPPGEC","CAPPG - Res 49",IF($B34="OUTROS","DIREÇÃO","")))))="PPGE")*ApoioJ+((IFERROR(INDEX(ApoioA,MATCH($B34,ApoioB,0)),IF(COUNTIF(ApoioA,$B34)&gt;0,$B34,IF($B34="RESOLUÇÃO 049/2022-CONSUNI/CPPGEC","CAPPG - Res 49",IF($B34="OUTROS","DIREÇÃO","")))))="PPGEL")*ApoioK+((IFERROR(INDEX(ApoioA,MATCH($B34,ApoioB,0)),IF(COUNTIF(ApoioA,$B34)&gt;0,$B34,IF($B34="RESOLUÇÃO 049/2022-CONSUNI/CPPGEC","CAPPG - Res 49",IF($B34="OUTROS","DIREÇÃO","")))))="PPGH/PPGDH")*ApoioL)),--ISNUMBER(ApoioG))=0,"Pendente",SUMPRODUCT((--(ApoioA&lt;&gt;"")*--(((ApoioA=(IFERROR(INDEX(ApoioA,MATCH($B34,ApoioB,0)),IF(COUNTIF(ApoioA,$B34)&gt;0,$B34,IF($B34="RESOLUÇÃO 049/2022-CONSUNI/CPPGEC","CAPPG - Res 49",IF($B34="OUTROS","DIREÇÃO",""))))))+((IFERROR(INDEX(ApoioA,MATCH($B34,ApoioB,0)),IF(COUNTIF(ApoioA,$B34)&gt;0,$B34,IF($B34="RESOLUÇÃO 049/2022-CONSUNI/CPPGEC","CAPPG - Res 49",IF($B34="OUTROS","DIREÇÃO","")))))="DIREÇÃO")*(LEFT(ApoioA,9)="DIREÇÃO -"))&gt;0))+(--(ApoioA="PPGEL +")*(((IFERROR(INDEX(ApoioA,MATCH($B34,ApoioB,0)),IF(COUNTIF(ApoioA,$B34)&gt;0,$B34,IF($B34="RESOLUÇÃO 049/2022-CONSUNI/CPPGEC","CAPPG - Res 49",IF($B34="OUTROS","DIREÇÃO","")))))="PPGE")*ApoioJ+((IFERROR(INDEX(ApoioA,MATCH($B34,ApoioB,0)),IF(COUNTIF(ApoioA,$B34)&gt;0,$B34,IF($B34="RESOLUÇÃO 049/2022-CONSUNI/CPPGEC","CAPPG - Res 49",IF($B34="OUTROS","DIREÇÃO","")))))="PPGEL")*ApoioK+((IFERROR(INDEX(ApoioA,MATCH($B34,ApoioB,0)),IF(COUNTIF(ApoioA,$B34)&gt;0,$B34,IF($B34="RESOLUÇÃO 049/2022-CONSUNI/CPPGEC","CAPPG - Res 49",IF($B34="OUTROS","DIREÇÃO","")))))="PPGH/PPGDH")*ApoioL)),ApoioG))</f>
        <v/>
      </c>
      <c r="K34" s="89">
        <f>IF(AND(ISNUMBER(I34),ISNUMBER(J34)),I34-J34,"Pendente")</f>
        <v/>
      </c>
      <c r="L34" s="70" t="n"/>
      <c r="M34" s="89">
        <f>IF(AND(ISNUMBER(G34),ISNUMBER(K34)),G34+K34,"Pendente")</f>
        <v/>
      </c>
      <c r="O34" s="67" t="inlineStr">
        <is>
          <t>Grupo principal</t>
        </is>
      </c>
      <c r="P34" s="67">
        <f>B34</f>
        <v/>
      </c>
    </row>
    <row r="35" ht="15.75" customHeight="1" s="61">
      <c r="A35" s="69" t="n"/>
      <c r="B35" s="99" t="inlineStr">
        <is>
          <t>Especialização em Enfermagem em Oncologia</t>
        </is>
      </c>
      <c r="C35" s="100">
        <f>IF(AND(ISNUMBER(E35),ISNUMBER(I35)),E35+I35,"Pendente")</f>
        <v/>
      </c>
      <c r="D35" s="70" t="n"/>
      <c r="E35" s="100">
        <f>IF(SUMPRODUCT((--(ApoioA&lt;&gt;"")*--(((ApoioA=(IFERROR(INDEX(ApoioA,MATCH($B35,ApoioB,0)),IF(COUNTIF(ApoioA,$B35)&gt;0,$B35,IF($B35="RESOLUÇÃO 049/2022-CONSUNI/CPPGEC","CAPPG - Res 49",IF($B35="OUTROS","DIREÇÃO",""))))))+((IFERROR(INDEX(ApoioA,MATCH($B35,ApoioB,0)),IF(COUNTIF(ApoioA,$B35)&gt;0,$B35,IF($B35="RESOLUÇÃO 049/2022-CONSUNI/CPPGEC","CAPPG - Res 49",IF($B35="OUTROS","DIREÇÃO","")))))="DIREÇÃO")*(LEFT(ApoioA,9)="DIREÇÃO -"))&gt;0))+(--(ApoioA="PPGEL +")*(((IFERROR(INDEX(ApoioA,MATCH($B35,ApoioB,0)),IF(COUNTIF(ApoioA,$B35)&gt;0,$B35,IF($B35="RESOLUÇÃO 049/2022-CONSUNI/CPPGEC","CAPPG - Res 49",IF($B35="OUTROS","DIREÇÃO","")))))="PPGE")*ApoioJ+((IFERROR(INDEX(ApoioA,MATCH($B35,ApoioB,0)),IF(COUNTIF(ApoioA,$B35)&gt;0,$B35,IF($B35="RESOLUÇÃO 049/2022-CONSUNI/CPPGEC","CAPPG - Res 49",IF($B35="OUTROS","DIREÇÃO","")))))="PPGEL")*ApoioK+((IFERROR(INDEX(ApoioA,MATCH($B35,ApoioB,0)),IF(COUNTIF(ApoioA,$B35)&gt;0,$B35,IF($B35="RESOLUÇÃO 049/2022-CONSUNI/CPPGEC","CAPPG - Res 49",IF($B35="OUTROS","DIREÇÃO","")))))="PPGH/PPGDH")*ApoioL)),--ISNUMBER(ApoioD))=0,"Pendente",SUMPRODUCT((--(ApoioA&lt;&gt;"")*--(((ApoioA=(IFERROR(INDEX(ApoioA,MATCH($B35,ApoioB,0)),IF(COUNTIF(ApoioA,$B35)&gt;0,$B35,IF($B35="RESOLUÇÃO 049/2022-CONSUNI/CPPGEC","CAPPG - Res 49",IF($B35="OUTROS","DIREÇÃO",""))))))+((IFERROR(INDEX(ApoioA,MATCH($B35,ApoioB,0)),IF(COUNTIF(ApoioA,$B35)&gt;0,$B35,IF($B35="RESOLUÇÃO 049/2022-CONSUNI/CPPGEC","CAPPG - Res 49",IF($B35="OUTROS","DIREÇÃO","")))))="DIREÇÃO")*(LEFT(ApoioA,9)="DIREÇÃO -"))&gt;0))+(--(ApoioA="PPGEL +")*(((IFERROR(INDEX(ApoioA,MATCH($B35,ApoioB,0)),IF(COUNTIF(ApoioA,$B35)&gt;0,$B35,IF($B35="RESOLUÇÃO 049/2022-CONSUNI/CPPGEC","CAPPG - Res 49",IF($B35="OUTROS","DIREÇÃO","")))))="PPGE")*ApoioJ+((IFERROR(INDEX(ApoioA,MATCH($B35,ApoioB,0)),IF(COUNTIF(ApoioA,$B35)&gt;0,$B35,IF($B35="RESOLUÇÃO 049/2022-CONSUNI/CPPGEC","CAPPG - Res 49",IF($B35="OUTROS","DIREÇÃO","")))))="PPGEL")*ApoioK+((IFERROR(INDEX(ApoioA,MATCH($B35,ApoioB,0)),IF(COUNTIF(ApoioA,$B35)&gt;0,$B35,IF($B35="RESOLUÇÃO 049/2022-CONSUNI/CPPGEC","CAPPG - Res 49",IF($B35="OUTROS","DIREÇÃO","")))))="PPGH/PPGDH")*ApoioL)),ApoioD))</f>
        <v/>
      </c>
      <c r="F35" s="92">
        <f>IF(SUMPRODUCT((--(ApoioA&lt;&gt;"")*--(((ApoioA=(IFERROR(INDEX(ApoioA,MATCH($B35,ApoioB,0)),IF(COUNTIF(ApoioA,$B35)&gt;0,$B35,IF($B35="RESOLUÇÃO 049/2022-CONSUNI/CPPGEC","CAPPG - Res 49",IF($B35="OUTROS","DIREÇÃO",""))))))+((IFERROR(INDEX(ApoioA,MATCH($B35,ApoioB,0)),IF(COUNTIF(ApoioA,$B35)&gt;0,$B35,IF($B35="RESOLUÇÃO 049/2022-CONSUNI/CPPGEC","CAPPG - Res 49",IF($B35="OUTROS","DIREÇÃO","")))))="DIREÇÃO")*(LEFT(ApoioA,9)="DIREÇÃO -"))&gt;0))+(--(ApoioA="PPGEL +")*(((IFERROR(INDEX(ApoioA,MATCH($B35,ApoioB,0)),IF(COUNTIF(ApoioA,$B35)&gt;0,$B35,IF($B35="RESOLUÇÃO 049/2022-CONSUNI/CPPGEC","CAPPG - Res 49",IF($B35="OUTROS","DIREÇÃO","")))))="PPGE")*ApoioJ+((IFERROR(INDEX(ApoioA,MATCH($B35,ApoioB,0)),IF(COUNTIF(ApoioA,$B35)&gt;0,$B35,IF($B35="RESOLUÇÃO 049/2022-CONSUNI/CPPGEC","CAPPG - Res 49",IF($B35="OUTROS","DIREÇÃO","")))))="PPGEL")*ApoioK+((IFERROR(INDEX(ApoioA,MATCH($B35,ApoioB,0)),IF(COUNTIF(ApoioA,$B35)&gt;0,$B35,IF($B35="RESOLUÇÃO 049/2022-CONSUNI/CPPGEC","CAPPG - Res 49",IF($B35="OUTROS","DIREÇÃO","")))))="PPGH/PPGDH")*ApoioL)),COUNTIFS(ViagensM,ApoioA,ViagensC,"Cancelada",ViagensN,""))&gt;0,"Pendente",SUMPRODUCT((--(ApoioA&lt;&gt;"")*--(((ApoioA=(IFERROR(INDEX(ApoioA,MATCH($B35,ApoioB,0)),IF(COUNTIF(ApoioA,$B35)&gt;0,$B35,IF($B35="RESOLUÇÃO 049/2022-CONSUNI/CPPGEC","CAPPG - Res 49",IF($B35="OUTROS","DIREÇÃO",""))))))+((IFERROR(INDEX(ApoioA,MATCH($B35,ApoioB,0)),IF(COUNTIF(ApoioA,$B35)&gt;0,$B35,IF($B35="RESOLUÇÃO 049/2022-CONSUNI/CPPGEC","CAPPG - Res 49",IF($B35="OUTROS","DIREÇÃO","")))))="DIREÇÃO")*(LEFT(ApoioA,9)="DIREÇÃO -"))&gt;0))+(--(ApoioA="PPGEL +")*(((IFERROR(INDEX(ApoioA,MATCH($B35,ApoioB,0)),IF(COUNTIF(ApoioA,$B35)&gt;0,$B35,IF($B35="RESOLUÇÃO 049/2022-CONSUNI/CPPGEC","CAPPG - Res 49",IF($B35="OUTROS","DIREÇÃO","")))))="PPGE")*ApoioJ+((IFERROR(INDEX(ApoioA,MATCH($B35,ApoioB,0)),IF(COUNTIF(ApoioA,$B35)&gt;0,$B35,IF($B35="RESOLUÇÃO 049/2022-CONSUNI/CPPGEC","CAPPG - Res 49",IF($B35="OUTROS","DIREÇÃO","")))))="PPGEL")*ApoioK+((IFERROR(INDEX(ApoioA,MATCH($B35,ApoioB,0)),IF(COUNTIF(ApoioA,$B35)&gt;0,$B35,IF($B35="RESOLUÇÃO 049/2022-CONSUNI/CPPGEC","CAPPG - Res 49",IF($B35="OUTROS","DIREÇÃO","")))))="PPGH/PPGDH")*ApoioL)),(SUMIFS(ViagensK,ViagensM,ApoioA,ViagensC,"&lt;&gt;Cancelada")+SUMIFS(ViagensK,ViagensM,ApoioA,ViagensC,"Cancelada",ViagensN,"Sim"))))</f>
        <v/>
      </c>
      <c r="G35" s="92">
        <f>IF(AND(ISNUMBER(E35),ISNUMBER(F35)),E35-F35,"Pendente")</f>
        <v/>
      </c>
      <c r="H35" s="80" t="n"/>
      <c r="I35" s="91">
        <f>IF(SUMPRODUCT((--(ApoioA&lt;&gt;"")*--(((ApoioA=(IFERROR(INDEX(ApoioA,MATCH($B35,ApoioB,0)),IF(COUNTIF(ApoioA,$B35)&gt;0,$B35,IF($B35="RESOLUÇÃO 049/2022-CONSUNI/CPPGEC","CAPPG - Res 49",IF($B35="OUTROS","DIREÇÃO",""))))))+((IFERROR(INDEX(ApoioA,MATCH($B35,ApoioB,0)),IF(COUNTIF(ApoioA,$B35)&gt;0,$B35,IF($B35="RESOLUÇÃO 049/2022-CONSUNI/CPPGEC","CAPPG - Res 49",IF($B35="OUTROS","DIREÇÃO","")))))="DIREÇÃO")*(LEFT(ApoioA,9)="DIREÇÃO -"))&gt;0))+(--(ApoioA="PPGEL +")*(((IFERROR(INDEX(ApoioA,MATCH($B35,ApoioB,0)),IF(COUNTIF(ApoioA,$B35)&gt;0,$B35,IF($B35="RESOLUÇÃO 049/2022-CONSUNI/CPPGEC","CAPPG - Res 49",IF($B35="OUTROS","DIREÇÃO","")))))="PPGE")*ApoioJ+((IFERROR(INDEX(ApoioA,MATCH($B35,ApoioB,0)),IF(COUNTIF(ApoioA,$B35)&gt;0,$B35,IF($B35="RESOLUÇÃO 049/2022-CONSUNI/CPPGEC","CAPPG - Res 49",IF($B35="OUTROS","DIREÇÃO","")))))="PPGEL")*ApoioK+((IFERROR(INDEX(ApoioA,MATCH($B35,ApoioB,0)),IF(COUNTIF(ApoioA,$B35)&gt;0,$B35,IF($B35="RESOLUÇÃO 049/2022-CONSUNI/CPPGEC","CAPPG - Res 49",IF($B35="OUTROS","DIREÇÃO","")))))="PPGH/PPGDH")*ApoioL)),--ISNUMBER(ApoioE))=0,"Pendente",SUMPRODUCT((--(ApoioA&lt;&gt;"")*--(((ApoioA=(IFERROR(INDEX(ApoioA,MATCH($B35,ApoioB,0)),IF(COUNTIF(ApoioA,$B35)&gt;0,$B35,IF($B35="RESOLUÇÃO 049/2022-CONSUNI/CPPGEC","CAPPG - Res 49",IF($B35="OUTROS","DIREÇÃO",""))))))+((IFERROR(INDEX(ApoioA,MATCH($B35,ApoioB,0)),IF(COUNTIF(ApoioA,$B35)&gt;0,$B35,IF($B35="RESOLUÇÃO 049/2022-CONSUNI/CPPGEC","CAPPG - Res 49",IF($B35="OUTROS","DIREÇÃO","")))))="DIREÇÃO")*(LEFT(ApoioA,9)="DIREÇÃO -"))&gt;0))+(--(ApoioA="PPGEL +")*(((IFERROR(INDEX(ApoioA,MATCH($B35,ApoioB,0)),IF(COUNTIF(ApoioA,$B35)&gt;0,$B35,IF($B35="RESOLUÇÃO 049/2022-CONSUNI/CPPGEC","CAPPG - Res 49",IF($B35="OUTROS","DIREÇÃO","")))))="PPGE")*ApoioJ+((IFERROR(INDEX(ApoioA,MATCH($B35,ApoioB,0)),IF(COUNTIF(ApoioA,$B35)&gt;0,$B35,IF($B35="RESOLUÇÃO 049/2022-CONSUNI/CPPGEC","CAPPG - Res 49",IF($B35="OUTROS","DIREÇÃO","")))))="PPGEL")*ApoioK+((IFERROR(INDEX(ApoioA,MATCH($B35,ApoioB,0)),IF(COUNTIF(ApoioA,$B35)&gt;0,$B35,IF($B35="RESOLUÇÃO 049/2022-CONSUNI/CPPGEC","CAPPG - Res 49",IF($B35="OUTROS","DIREÇÃO","")))))="PPGH/PPGDH")*ApoioL)),ApoioE))</f>
        <v/>
      </c>
      <c r="J35" s="92">
        <f>IF(SUMPRODUCT((--(ApoioA&lt;&gt;"")*--(((ApoioA=(IFERROR(INDEX(ApoioA,MATCH($B35,ApoioB,0)),IF(COUNTIF(ApoioA,$B35)&gt;0,$B35,IF($B35="RESOLUÇÃO 049/2022-CONSUNI/CPPGEC","CAPPG - Res 49",IF($B35="OUTROS","DIREÇÃO",""))))))+((IFERROR(INDEX(ApoioA,MATCH($B35,ApoioB,0)),IF(COUNTIF(ApoioA,$B35)&gt;0,$B35,IF($B35="RESOLUÇÃO 049/2022-CONSUNI/CPPGEC","CAPPG - Res 49",IF($B35="OUTROS","DIREÇÃO","")))))="DIREÇÃO")*(LEFT(ApoioA,9)="DIREÇÃO -"))&gt;0))+(--(ApoioA="PPGEL +")*(((IFERROR(INDEX(ApoioA,MATCH($B35,ApoioB,0)),IF(COUNTIF(ApoioA,$B35)&gt;0,$B35,IF($B35="RESOLUÇÃO 049/2022-CONSUNI/CPPGEC","CAPPG - Res 49",IF($B35="OUTROS","DIREÇÃO","")))))="PPGE")*ApoioJ+((IFERROR(INDEX(ApoioA,MATCH($B35,ApoioB,0)),IF(COUNTIF(ApoioA,$B35)&gt;0,$B35,IF($B35="RESOLUÇÃO 049/2022-CONSUNI/CPPGEC","CAPPG - Res 49",IF($B35="OUTROS","DIREÇÃO","")))))="PPGEL")*ApoioK+((IFERROR(INDEX(ApoioA,MATCH($B35,ApoioB,0)),IF(COUNTIF(ApoioA,$B35)&gt;0,$B35,IF($B35="RESOLUÇÃO 049/2022-CONSUNI/CPPGEC","CAPPG - Res 49",IF($B35="OUTROS","DIREÇÃO","")))))="PPGH/PPGDH")*ApoioL)),--ISNUMBER(ApoioG))=0,"Pendente",SUMPRODUCT((--(ApoioA&lt;&gt;"")*--(((ApoioA=(IFERROR(INDEX(ApoioA,MATCH($B35,ApoioB,0)),IF(COUNTIF(ApoioA,$B35)&gt;0,$B35,IF($B35="RESOLUÇÃO 049/2022-CONSUNI/CPPGEC","CAPPG - Res 49",IF($B35="OUTROS","DIREÇÃO",""))))))+((IFERROR(INDEX(ApoioA,MATCH($B35,ApoioB,0)),IF(COUNTIF(ApoioA,$B35)&gt;0,$B35,IF($B35="RESOLUÇÃO 049/2022-CONSUNI/CPPGEC","CAPPG - Res 49",IF($B35="OUTROS","DIREÇÃO","")))))="DIREÇÃO")*(LEFT(ApoioA,9)="DIREÇÃO -"))&gt;0))+(--(ApoioA="PPGEL +")*(((IFERROR(INDEX(ApoioA,MATCH($B35,ApoioB,0)),IF(COUNTIF(ApoioA,$B35)&gt;0,$B35,IF($B35="RESOLUÇÃO 049/2022-CONSUNI/CPPGEC","CAPPG - Res 49",IF($B35="OUTROS","DIREÇÃO","")))))="PPGE")*ApoioJ+((IFERROR(INDEX(ApoioA,MATCH($B35,ApoioB,0)),IF(COUNTIF(ApoioA,$B35)&gt;0,$B35,IF($B35="RESOLUÇÃO 049/2022-CONSUNI/CPPGEC","CAPPG - Res 49",IF($B35="OUTROS","DIREÇÃO","")))))="PPGEL")*ApoioK+((IFERROR(INDEX(ApoioA,MATCH($B35,ApoioB,0)),IF(COUNTIF(ApoioA,$B35)&gt;0,$B35,IF($B35="RESOLUÇÃO 049/2022-CONSUNI/CPPGEC","CAPPG - Res 49",IF($B35="OUTROS","DIREÇÃO","")))))="PPGH/PPGDH")*ApoioL)),ApoioG))</f>
        <v/>
      </c>
      <c r="K35" s="92">
        <f>IF(AND(ISNUMBER(I35),ISNUMBER(J35)),I35-J35,"Pendente")</f>
        <v/>
      </c>
      <c r="L35" s="70" t="n"/>
      <c r="M35" s="92">
        <f>IF(AND(ISNUMBER(G35),ISNUMBER(K35)),G35+K35,"Pendente")</f>
        <v/>
      </c>
      <c r="O35" s="67" t="inlineStr">
        <is>
          <t>Grupo principal</t>
        </is>
      </c>
      <c r="P35" s="67">
        <f>B35</f>
        <v/>
      </c>
    </row>
    <row r="36" ht="15.75" customHeight="1" s="61">
      <c r="A36" s="69" t="n"/>
      <c r="B36" s="101" t="inlineStr">
        <is>
          <t>TOTAL PROGRAMAS PÓS-GRADUAÇÃO</t>
        </is>
      </c>
      <c r="C36" s="95">
        <f>IF(COUNT(C26:C35)=10,SUM(C26:C35),"Pendente")</f>
        <v/>
      </c>
      <c r="D36" s="70" t="n"/>
      <c r="E36" s="95">
        <f>IF(COUNT(E26:E35)=10,SUM(E26:E35),"Pendente")</f>
        <v/>
      </c>
      <c r="F36" s="95">
        <f>IF(COUNT(F26:F35)=10,SUM(F26:F35),"Pendente")</f>
        <v/>
      </c>
      <c r="G36" s="95">
        <f>IF(COUNT(G26:G35)=10,SUM(G26:G35),"Pendente")</f>
        <v/>
      </c>
      <c r="H36" s="80" t="n"/>
      <c r="I36" s="95">
        <f>IF(COUNT(I26:I35)=10,SUM(I26:I35),"Pendente")</f>
        <v/>
      </c>
      <c r="J36" s="95">
        <f>IF(COUNT(J26:J35)=10,SUM(J26:J35),"Pendente")</f>
        <v/>
      </c>
      <c r="K36" s="95">
        <f>IF(COUNT(K26:K35)=10,SUM(K26:K35),"Pendente")</f>
        <v/>
      </c>
      <c r="L36" s="70" t="n"/>
      <c r="M36" s="95">
        <f>IF(COUNT(M26:M35)=10,SUM(M26:M35),"Pendente")</f>
        <v/>
      </c>
    </row>
    <row r="37" ht="15" customHeight="1" s="61">
      <c r="A37" s="69" t="n"/>
      <c r="B37" s="102" t="n"/>
      <c r="C37" s="103" t="n"/>
      <c r="D37" s="70" t="n"/>
      <c r="E37" s="70" t="n"/>
      <c r="F37" s="70" t="n"/>
      <c r="G37" s="70" t="n"/>
      <c r="H37" s="70" t="n"/>
      <c r="I37" s="70" t="n"/>
      <c r="J37" s="70" t="n"/>
      <c r="K37" s="70" t="n"/>
      <c r="L37" s="70" t="n"/>
      <c r="M37" s="70" t="n"/>
    </row>
    <row r="38" ht="21.75" customHeight="1" s="61">
      <c r="A38" s="69" t="n"/>
      <c r="B38" s="76" t="inlineStr">
        <is>
          <t>OUTROS (Administrativo)</t>
        </is>
      </c>
      <c r="C38" s="77" t="inlineStr">
        <is>
          <t>Proposta 2026 Recurso Total</t>
        </is>
      </c>
      <c r="D38" s="70" t="n"/>
      <c r="E38" s="78" t="inlineStr">
        <is>
          <t>Diárias &amp; Passagens</t>
        </is>
      </c>
      <c r="F38" s="79" t="n"/>
      <c r="G38" s="79" t="n"/>
      <c r="H38" s="80" t="n"/>
      <c r="I38" s="81" t="inlineStr">
        <is>
          <t>Transportes</t>
        </is>
      </c>
      <c r="J38" s="79" t="n"/>
      <c r="K38" s="79" t="n"/>
      <c r="L38" s="80" t="n"/>
      <c r="M38" s="82" t="inlineStr">
        <is>
          <t>SALDO GERAL</t>
        </is>
      </c>
    </row>
    <row r="39" ht="21.75" customHeight="1" s="61">
      <c r="A39" s="69" t="n"/>
      <c r="B39" s="83" t="n"/>
      <c r="C39" s="83" t="n"/>
      <c r="D39" s="70" t="n"/>
      <c r="E39" s="84" t="inlineStr">
        <is>
          <t>Distribuído</t>
        </is>
      </c>
      <c r="F39" s="85" t="inlineStr">
        <is>
          <t>Utilizado</t>
        </is>
      </c>
      <c r="G39" s="85" t="inlineStr">
        <is>
          <t>Saldo</t>
        </is>
      </c>
      <c r="H39" s="86" t="n"/>
      <c r="I39" s="84" t="inlineStr">
        <is>
          <t>Distribuído</t>
        </is>
      </c>
      <c r="J39" s="85" t="inlineStr">
        <is>
          <t>Utilizado</t>
        </is>
      </c>
      <c r="K39" s="85" t="inlineStr">
        <is>
          <t>Saldo</t>
        </is>
      </c>
      <c r="L39" s="80" t="n"/>
      <c r="M39" s="83" t="n"/>
    </row>
    <row r="40" ht="15" customHeight="1" s="61">
      <c r="A40" s="69" t="n"/>
      <c r="B40" s="104" t="n"/>
      <c r="C40" s="105" t="n"/>
      <c r="D40" s="70" t="n"/>
      <c r="E40" s="106" t="n"/>
      <c r="F40" s="86" t="n"/>
      <c r="G40" s="86" t="n"/>
      <c r="H40" s="86" t="n"/>
      <c r="I40" s="106" t="n"/>
      <c r="J40" s="86" t="n"/>
      <c r="K40" s="86" t="n"/>
      <c r="L40" s="80" t="n"/>
      <c r="M40" s="80" t="n"/>
    </row>
    <row r="41" ht="15.75" customHeight="1" s="61">
      <c r="A41" s="69" t="n"/>
      <c r="B41" s="107" t="inlineStr">
        <is>
          <t>OUTROS</t>
        </is>
      </c>
      <c r="C41" s="95">
        <f>IF(AND(ISNUMBER(E41),ISNUMBER(I41)),E41+I41,"Pendente")</f>
        <v/>
      </c>
      <c r="D41" s="70" t="n"/>
      <c r="E41" s="95">
        <f>IF(SUMPRODUCT((--(ApoioA&lt;&gt;"")*--(((ApoioA=(IFERROR(INDEX(ApoioA,MATCH($B41,ApoioB,0)),IF(COUNTIF(ApoioA,$B41)&gt;0,$B41,IF($B41="RESOLUÇÃO 049/2022-CONSUNI/CPPGEC","CAPPG - Res 49",IF($B41="OUTROS","DIREÇÃO",""))))))+((IFERROR(INDEX(ApoioA,MATCH($B41,ApoioB,0)),IF(COUNTIF(ApoioA,$B41)&gt;0,$B41,IF($B41="RESOLUÇÃO 049/2022-CONSUNI/CPPGEC","CAPPG - Res 49",IF($B41="OUTROS","DIREÇÃO","")))))="DIREÇÃO")*(LEFT(ApoioA,9)="DIREÇÃO -"))&gt;0))+(--(ApoioA="PPGEL +")*(((IFERROR(INDEX(ApoioA,MATCH($B41,ApoioB,0)),IF(COUNTIF(ApoioA,$B41)&gt;0,$B41,IF($B41="RESOLUÇÃO 049/2022-CONSUNI/CPPGEC","CAPPG - Res 49",IF($B41="OUTROS","DIREÇÃO","")))))="PPGE")*ApoioJ+((IFERROR(INDEX(ApoioA,MATCH($B41,ApoioB,0)),IF(COUNTIF(ApoioA,$B41)&gt;0,$B41,IF($B41="RESOLUÇÃO 049/2022-CONSUNI/CPPGEC","CAPPG - Res 49",IF($B41="OUTROS","DIREÇÃO","")))))="PPGEL")*ApoioK+((IFERROR(INDEX(ApoioA,MATCH($B41,ApoioB,0)),IF(COUNTIF(ApoioA,$B41)&gt;0,$B41,IF($B41="RESOLUÇÃO 049/2022-CONSUNI/CPPGEC","CAPPG - Res 49",IF($B41="OUTROS","DIREÇÃO","")))))="PPGH/PPGDH")*ApoioL)),--ISNUMBER(ApoioD))=0,"Pendente",SUMPRODUCT((--(ApoioA&lt;&gt;"")*--(((ApoioA=(IFERROR(INDEX(ApoioA,MATCH($B41,ApoioB,0)),IF(COUNTIF(ApoioA,$B41)&gt;0,$B41,IF($B41="RESOLUÇÃO 049/2022-CONSUNI/CPPGEC","CAPPG - Res 49",IF($B41="OUTROS","DIREÇÃO",""))))))+((IFERROR(INDEX(ApoioA,MATCH($B41,ApoioB,0)),IF(COUNTIF(ApoioA,$B41)&gt;0,$B41,IF($B41="RESOLUÇÃO 049/2022-CONSUNI/CPPGEC","CAPPG - Res 49",IF($B41="OUTROS","DIREÇÃO","")))))="DIREÇÃO")*(LEFT(ApoioA,9)="DIREÇÃO -"))&gt;0))+(--(ApoioA="PPGEL +")*(((IFERROR(INDEX(ApoioA,MATCH($B41,ApoioB,0)),IF(COUNTIF(ApoioA,$B41)&gt;0,$B41,IF($B41="RESOLUÇÃO 049/2022-CONSUNI/CPPGEC","CAPPG - Res 49",IF($B41="OUTROS","DIREÇÃO","")))))="PPGE")*ApoioJ+((IFERROR(INDEX(ApoioA,MATCH($B41,ApoioB,0)),IF(COUNTIF(ApoioA,$B41)&gt;0,$B41,IF($B41="RESOLUÇÃO 049/2022-CONSUNI/CPPGEC","CAPPG - Res 49",IF($B41="OUTROS","DIREÇÃO","")))))="PPGEL")*ApoioK+((IFERROR(INDEX(ApoioA,MATCH($B41,ApoioB,0)),IF(COUNTIF(ApoioA,$B41)&gt;0,$B41,IF($B41="RESOLUÇÃO 049/2022-CONSUNI/CPPGEC","CAPPG - Res 49",IF($B41="OUTROS","DIREÇÃO","")))))="PPGH/PPGDH")*ApoioL)),ApoioD))</f>
        <v/>
      </c>
      <c r="F41" s="108">
        <f>IF(SUMPRODUCT((--(ApoioA&lt;&gt;"")*--(((ApoioA=(IFERROR(INDEX(ApoioA,MATCH($B41,ApoioB,0)),IF(COUNTIF(ApoioA,$B41)&gt;0,$B41,IF($B41="RESOLUÇÃO 049/2022-CONSUNI/CPPGEC","CAPPG - Res 49",IF($B41="OUTROS","DIREÇÃO",""))))))+((IFERROR(INDEX(ApoioA,MATCH($B41,ApoioB,0)),IF(COUNTIF(ApoioA,$B41)&gt;0,$B41,IF($B41="RESOLUÇÃO 049/2022-CONSUNI/CPPGEC","CAPPG - Res 49",IF($B41="OUTROS","DIREÇÃO","")))))="DIREÇÃO")*(LEFT(ApoioA,9)="DIREÇÃO -"))&gt;0))+(--(ApoioA="PPGEL +")*(((IFERROR(INDEX(ApoioA,MATCH($B41,ApoioB,0)),IF(COUNTIF(ApoioA,$B41)&gt;0,$B41,IF($B41="RESOLUÇÃO 049/2022-CONSUNI/CPPGEC","CAPPG - Res 49",IF($B41="OUTROS","DIREÇÃO","")))))="PPGE")*ApoioJ+((IFERROR(INDEX(ApoioA,MATCH($B41,ApoioB,0)),IF(COUNTIF(ApoioA,$B41)&gt;0,$B41,IF($B41="RESOLUÇÃO 049/2022-CONSUNI/CPPGEC","CAPPG - Res 49",IF($B41="OUTROS","DIREÇÃO","")))))="PPGEL")*ApoioK+((IFERROR(INDEX(ApoioA,MATCH($B41,ApoioB,0)),IF(COUNTIF(ApoioA,$B41)&gt;0,$B41,IF($B41="RESOLUÇÃO 049/2022-CONSUNI/CPPGEC","CAPPG - Res 49",IF($B41="OUTROS","DIREÇÃO","")))))="PPGH/PPGDH")*ApoioL)),COUNTIFS(ViagensM,ApoioA,ViagensC,"Cancelada",ViagensN,""))&gt;0,"Pendente",SUMPRODUCT((--(ApoioA&lt;&gt;"")*--(((ApoioA=(IFERROR(INDEX(ApoioA,MATCH($B41,ApoioB,0)),IF(COUNTIF(ApoioA,$B41)&gt;0,$B41,IF($B41="RESOLUÇÃO 049/2022-CONSUNI/CPPGEC","CAPPG - Res 49",IF($B41="OUTROS","DIREÇÃO",""))))))+((IFERROR(INDEX(ApoioA,MATCH($B41,ApoioB,0)),IF(COUNTIF(ApoioA,$B41)&gt;0,$B41,IF($B41="RESOLUÇÃO 049/2022-CONSUNI/CPPGEC","CAPPG - Res 49",IF($B41="OUTROS","DIREÇÃO","")))))="DIREÇÃO")*(LEFT(ApoioA,9)="DIREÇÃO -"))&gt;0))+(--(ApoioA="PPGEL +")*(((IFERROR(INDEX(ApoioA,MATCH($B41,ApoioB,0)),IF(COUNTIF(ApoioA,$B41)&gt;0,$B41,IF($B41="RESOLUÇÃO 049/2022-CONSUNI/CPPGEC","CAPPG - Res 49",IF($B41="OUTROS","DIREÇÃO","")))))="PPGE")*ApoioJ+((IFERROR(INDEX(ApoioA,MATCH($B41,ApoioB,0)),IF(COUNTIF(ApoioA,$B41)&gt;0,$B41,IF($B41="RESOLUÇÃO 049/2022-CONSUNI/CPPGEC","CAPPG - Res 49",IF($B41="OUTROS","DIREÇÃO","")))))="PPGEL")*ApoioK+((IFERROR(INDEX(ApoioA,MATCH($B41,ApoioB,0)),IF(COUNTIF(ApoioA,$B41)&gt;0,$B41,IF($B41="RESOLUÇÃO 049/2022-CONSUNI/CPPGEC","CAPPG - Res 49",IF($B41="OUTROS","DIREÇÃO","")))))="PPGH/PPGDH")*ApoioL)),(SUMIFS(ViagensK,ViagensM,ApoioA,ViagensC,"&lt;&gt;Cancelada")+SUMIFS(ViagensK,ViagensM,ApoioA,ViagensC,"Cancelada",ViagensN,"Sim"))))</f>
        <v/>
      </c>
      <c r="G41" s="108">
        <f>IF(AND(ISNUMBER(E41),ISNUMBER(F41)),E41-F41,"Pendente")</f>
        <v/>
      </c>
      <c r="H41" s="80" t="n"/>
      <c r="I41" s="109">
        <f>IF(SUMPRODUCT((--(ApoioA&lt;&gt;"")*--(((ApoioA=(IFERROR(INDEX(ApoioA,MATCH($B41,ApoioB,0)),IF(COUNTIF(ApoioA,$B41)&gt;0,$B41,IF($B41="RESOLUÇÃO 049/2022-CONSUNI/CPPGEC","CAPPG - Res 49",IF($B41="OUTROS","DIREÇÃO",""))))))+((IFERROR(INDEX(ApoioA,MATCH($B41,ApoioB,0)),IF(COUNTIF(ApoioA,$B41)&gt;0,$B41,IF($B41="RESOLUÇÃO 049/2022-CONSUNI/CPPGEC","CAPPG - Res 49",IF($B41="OUTROS","DIREÇÃO","")))))="DIREÇÃO")*(LEFT(ApoioA,9)="DIREÇÃO -"))&gt;0))+(--(ApoioA="PPGEL +")*(((IFERROR(INDEX(ApoioA,MATCH($B41,ApoioB,0)),IF(COUNTIF(ApoioA,$B41)&gt;0,$B41,IF($B41="RESOLUÇÃO 049/2022-CONSUNI/CPPGEC","CAPPG - Res 49",IF($B41="OUTROS","DIREÇÃO","")))))="PPGE")*ApoioJ+((IFERROR(INDEX(ApoioA,MATCH($B41,ApoioB,0)),IF(COUNTIF(ApoioA,$B41)&gt;0,$B41,IF($B41="RESOLUÇÃO 049/2022-CONSUNI/CPPGEC","CAPPG - Res 49",IF($B41="OUTROS","DIREÇÃO","")))))="PPGEL")*ApoioK+((IFERROR(INDEX(ApoioA,MATCH($B41,ApoioB,0)),IF(COUNTIF(ApoioA,$B41)&gt;0,$B41,IF($B41="RESOLUÇÃO 049/2022-CONSUNI/CPPGEC","CAPPG - Res 49",IF($B41="OUTROS","DIREÇÃO","")))))="PPGH/PPGDH")*ApoioL)),--ISNUMBER(ApoioE))=0,"Pendente",SUMPRODUCT((--(ApoioA&lt;&gt;"")*--(((ApoioA=(IFERROR(INDEX(ApoioA,MATCH($B41,ApoioB,0)),IF(COUNTIF(ApoioA,$B41)&gt;0,$B41,IF($B41="RESOLUÇÃO 049/2022-CONSUNI/CPPGEC","CAPPG - Res 49",IF($B41="OUTROS","DIREÇÃO",""))))))+((IFERROR(INDEX(ApoioA,MATCH($B41,ApoioB,0)),IF(COUNTIF(ApoioA,$B41)&gt;0,$B41,IF($B41="RESOLUÇÃO 049/2022-CONSUNI/CPPGEC","CAPPG - Res 49",IF($B41="OUTROS","DIREÇÃO","")))))="DIREÇÃO")*(LEFT(ApoioA,9)="DIREÇÃO -"))&gt;0))+(--(ApoioA="PPGEL +")*(((IFERROR(INDEX(ApoioA,MATCH($B41,ApoioB,0)),IF(COUNTIF(ApoioA,$B41)&gt;0,$B41,IF($B41="RESOLUÇÃO 049/2022-CONSUNI/CPPGEC","CAPPG - Res 49",IF($B41="OUTROS","DIREÇÃO","")))))="PPGE")*ApoioJ+((IFERROR(INDEX(ApoioA,MATCH($B41,ApoioB,0)),IF(COUNTIF(ApoioA,$B41)&gt;0,$B41,IF($B41="RESOLUÇÃO 049/2022-CONSUNI/CPPGEC","CAPPG - Res 49",IF($B41="OUTROS","DIREÇÃO","")))))="PPGEL")*ApoioK+((IFERROR(INDEX(ApoioA,MATCH($B41,ApoioB,0)),IF(COUNTIF(ApoioA,$B41)&gt;0,$B41,IF($B41="RESOLUÇÃO 049/2022-CONSUNI/CPPGEC","CAPPG - Res 49",IF($B41="OUTROS","DIREÇÃO","")))))="PPGH/PPGDH")*ApoioL)),ApoioE))</f>
        <v/>
      </c>
      <c r="J41" s="108">
        <f>IF(SUMPRODUCT((--(ApoioA&lt;&gt;"")*--(((ApoioA=(IFERROR(INDEX(ApoioA,MATCH($B41,ApoioB,0)),IF(COUNTIF(ApoioA,$B41)&gt;0,$B41,IF($B41="RESOLUÇÃO 049/2022-CONSUNI/CPPGEC","CAPPG - Res 49",IF($B41="OUTROS","DIREÇÃO",""))))))+((IFERROR(INDEX(ApoioA,MATCH($B41,ApoioB,0)),IF(COUNTIF(ApoioA,$B41)&gt;0,$B41,IF($B41="RESOLUÇÃO 049/2022-CONSUNI/CPPGEC","CAPPG - Res 49",IF($B41="OUTROS","DIREÇÃO","")))))="DIREÇÃO")*(LEFT(ApoioA,9)="DIREÇÃO -"))&gt;0))+(--(ApoioA="PPGEL +")*(((IFERROR(INDEX(ApoioA,MATCH($B41,ApoioB,0)),IF(COUNTIF(ApoioA,$B41)&gt;0,$B41,IF($B41="RESOLUÇÃO 049/2022-CONSUNI/CPPGEC","CAPPG - Res 49",IF($B41="OUTROS","DIREÇÃO","")))))="PPGE")*ApoioJ+((IFERROR(INDEX(ApoioA,MATCH($B41,ApoioB,0)),IF(COUNTIF(ApoioA,$B41)&gt;0,$B41,IF($B41="RESOLUÇÃO 049/2022-CONSUNI/CPPGEC","CAPPG - Res 49",IF($B41="OUTROS","DIREÇÃO","")))))="PPGEL")*ApoioK+((IFERROR(INDEX(ApoioA,MATCH($B41,ApoioB,0)),IF(COUNTIF(ApoioA,$B41)&gt;0,$B41,IF($B41="RESOLUÇÃO 049/2022-CONSUNI/CPPGEC","CAPPG - Res 49",IF($B41="OUTROS","DIREÇÃO","")))))="PPGH/PPGDH")*ApoioL)),--ISNUMBER(ApoioG))=0,"Pendente",SUMPRODUCT((--(ApoioA&lt;&gt;"")*--(((ApoioA=(IFERROR(INDEX(ApoioA,MATCH($B41,ApoioB,0)),IF(COUNTIF(ApoioA,$B41)&gt;0,$B41,IF($B41="RESOLUÇÃO 049/2022-CONSUNI/CPPGEC","CAPPG - Res 49",IF($B41="OUTROS","DIREÇÃO",""))))))+((IFERROR(INDEX(ApoioA,MATCH($B41,ApoioB,0)),IF(COUNTIF(ApoioA,$B41)&gt;0,$B41,IF($B41="RESOLUÇÃO 049/2022-CONSUNI/CPPGEC","CAPPG - Res 49",IF($B41="OUTROS","DIREÇÃO","")))))="DIREÇÃO")*(LEFT(ApoioA,9)="DIREÇÃO -"))&gt;0))+(--(ApoioA="PPGEL +")*(((IFERROR(INDEX(ApoioA,MATCH($B41,ApoioB,0)),IF(COUNTIF(ApoioA,$B41)&gt;0,$B41,IF($B41="RESOLUÇÃO 049/2022-CONSUNI/CPPGEC","CAPPG - Res 49",IF($B41="OUTROS","DIREÇÃO","")))))="PPGE")*ApoioJ+((IFERROR(INDEX(ApoioA,MATCH($B41,ApoioB,0)),IF(COUNTIF(ApoioA,$B41)&gt;0,$B41,IF($B41="RESOLUÇÃO 049/2022-CONSUNI/CPPGEC","CAPPG - Res 49",IF($B41="OUTROS","DIREÇÃO","")))))="PPGEL")*ApoioK+((IFERROR(INDEX(ApoioA,MATCH($B41,ApoioB,0)),IF(COUNTIF(ApoioA,$B41)&gt;0,$B41,IF($B41="RESOLUÇÃO 049/2022-CONSUNI/CPPGEC","CAPPG - Res 49",IF($B41="OUTROS","DIREÇÃO","")))))="PPGH/PPGDH")*ApoioL)),ApoioG))</f>
        <v/>
      </c>
      <c r="K41" s="110">
        <f>IF(AND(ISNUMBER(I41),ISNUMBER(J41)),I41-J41,"Pendente")</f>
        <v/>
      </c>
      <c r="L41" s="96" t="n"/>
      <c r="M41" s="110">
        <f>IF(AND(ISNUMBER(G41),ISNUMBER(K41)),G41+K41,"Pendente")</f>
        <v/>
      </c>
      <c r="O41" s="67" t="inlineStr">
        <is>
          <t>Grupo principal</t>
        </is>
      </c>
      <c r="P41" s="67">
        <f>B41</f>
        <v/>
      </c>
    </row>
    <row r="42" ht="15.75" customHeight="1" s="61">
      <c r="A42" s="69" t="n"/>
      <c r="B42" s="87" t="n"/>
      <c r="C42" s="111" t="n"/>
      <c r="D42" s="70" t="n"/>
      <c r="E42" s="70" t="n"/>
      <c r="F42" s="70" t="n"/>
      <c r="G42" s="70" t="n"/>
      <c r="H42" s="70" t="n"/>
      <c r="I42" s="70" t="n"/>
      <c r="J42" s="70" t="n"/>
      <c r="K42" s="70" t="n"/>
      <c r="L42" s="70" t="n"/>
      <c r="M42" s="70" t="n"/>
    </row>
    <row r="43" ht="15.75" customHeight="1" s="61">
      <c r="A43" s="69" t="n"/>
      <c r="B43" s="112" t="inlineStr">
        <is>
          <t>RESOLUÇÃO 049/2022-CONSUNI/CPPGEC</t>
        </is>
      </c>
      <c r="C43" s="95">
        <f>IF(AND(ISNUMBER(E43),ISNUMBER(I43)),E43+I43,"Pendente")</f>
        <v/>
      </c>
      <c r="D43" s="70" t="n"/>
      <c r="E43" s="95">
        <f>IF(SUMPRODUCT((--(ApoioA&lt;&gt;"")*--(((ApoioA=(IFERROR(INDEX(ApoioA,MATCH($B43,ApoioB,0)),IF(COUNTIF(ApoioA,$B43)&gt;0,$B43,IF($B43="RESOLUÇÃO 049/2022-CONSUNI/CPPGEC","CAPPG - Res 49",IF($B43="OUTROS","DIREÇÃO",""))))))+((IFERROR(INDEX(ApoioA,MATCH($B43,ApoioB,0)),IF(COUNTIF(ApoioA,$B43)&gt;0,$B43,IF($B43="RESOLUÇÃO 049/2022-CONSUNI/CPPGEC","CAPPG - Res 49",IF($B43="OUTROS","DIREÇÃO","")))))="DIREÇÃO")*(LEFT(ApoioA,9)="DIREÇÃO -"))&gt;0))+(--(ApoioA="PPGEL +")*(((IFERROR(INDEX(ApoioA,MATCH($B43,ApoioB,0)),IF(COUNTIF(ApoioA,$B43)&gt;0,$B43,IF($B43="RESOLUÇÃO 049/2022-CONSUNI/CPPGEC","CAPPG - Res 49",IF($B43="OUTROS","DIREÇÃO","")))))="PPGE")*ApoioJ+((IFERROR(INDEX(ApoioA,MATCH($B43,ApoioB,0)),IF(COUNTIF(ApoioA,$B43)&gt;0,$B43,IF($B43="RESOLUÇÃO 049/2022-CONSUNI/CPPGEC","CAPPG - Res 49",IF($B43="OUTROS","DIREÇÃO","")))))="PPGEL")*ApoioK+((IFERROR(INDEX(ApoioA,MATCH($B43,ApoioB,0)),IF(COUNTIF(ApoioA,$B43)&gt;0,$B43,IF($B43="RESOLUÇÃO 049/2022-CONSUNI/CPPGEC","CAPPG - Res 49",IF($B43="OUTROS","DIREÇÃO","")))))="PPGH/PPGDH")*ApoioL)),--ISNUMBER(ApoioD))=0,"Pendente",SUMPRODUCT((--(ApoioA&lt;&gt;"")*--(((ApoioA=(IFERROR(INDEX(ApoioA,MATCH($B43,ApoioB,0)),IF(COUNTIF(ApoioA,$B43)&gt;0,$B43,IF($B43="RESOLUÇÃO 049/2022-CONSUNI/CPPGEC","CAPPG - Res 49",IF($B43="OUTROS","DIREÇÃO",""))))))+((IFERROR(INDEX(ApoioA,MATCH($B43,ApoioB,0)),IF(COUNTIF(ApoioA,$B43)&gt;0,$B43,IF($B43="RESOLUÇÃO 049/2022-CONSUNI/CPPGEC","CAPPG - Res 49",IF($B43="OUTROS","DIREÇÃO","")))))="DIREÇÃO")*(LEFT(ApoioA,9)="DIREÇÃO -"))&gt;0))+(--(ApoioA="PPGEL +")*(((IFERROR(INDEX(ApoioA,MATCH($B43,ApoioB,0)),IF(COUNTIF(ApoioA,$B43)&gt;0,$B43,IF($B43="RESOLUÇÃO 049/2022-CONSUNI/CPPGEC","CAPPG - Res 49",IF($B43="OUTROS","DIREÇÃO","")))))="PPGE")*ApoioJ+((IFERROR(INDEX(ApoioA,MATCH($B43,ApoioB,0)),IF(COUNTIF(ApoioA,$B43)&gt;0,$B43,IF($B43="RESOLUÇÃO 049/2022-CONSUNI/CPPGEC","CAPPG - Res 49",IF($B43="OUTROS","DIREÇÃO","")))))="PPGEL")*ApoioK+((IFERROR(INDEX(ApoioA,MATCH($B43,ApoioB,0)),IF(COUNTIF(ApoioA,$B43)&gt;0,$B43,IF($B43="RESOLUÇÃO 049/2022-CONSUNI/CPPGEC","CAPPG - Res 49",IF($B43="OUTROS","DIREÇÃO","")))))="PPGH/PPGDH")*ApoioL)),ApoioD))</f>
        <v/>
      </c>
      <c r="F43" s="108">
        <f>IF(SUMPRODUCT((--(ApoioA&lt;&gt;"")*--(((ApoioA=(IFERROR(INDEX(ApoioA,MATCH($B43,ApoioB,0)),IF(COUNTIF(ApoioA,$B43)&gt;0,$B43,IF($B43="RESOLUÇÃO 049/2022-CONSUNI/CPPGEC","CAPPG - Res 49",IF($B43="OUTROS","DIREÇÃO",""))))))+((IFERROR(INDEX(ApoioA,MATCH($B43,ApoioB,0)),IF(COUNTIF(ApoioA,$B43)&gt;0,$B43,IF($B43="RESOLUÇÃO 049/2022-CONSUNI/CPPGEC","CAPPG - Res 49",IF($B43="OUTROS","DIREÇÃO","")))))="DIREÇÃO")*(LEFT(ApoioA,9)="DIREÇÃO -"))&gt;0))+(--(ApoioA="PPGEL +")*(((IFERROR(INDEX(ApoioA,MATCH($B43,ApoioB,0)),IF(COUNTIF(ApoioA,$B43)&gt;0,$B43,IF($B43="RESOLUÇÃO 049/2022-CONSUNI/CPPGEC","CAPPG - Res 49",IF($B43="OUTROS","DIREÇÃO","")))))="PPGE")*ApoioJ+((IFERROR(INDEX(ApoioA,MATCH($B43,ApoioB,0)),IF(COUNTIF(ApoioA,$B43)&gt;0,$B43,IF($B43="RESOLUÇÃO 049/2022-CONSUNI/CPPGEC","CAPPG - Res 49",IF($B43="OUTROS","DIREÇÃO","")))))="PPGEL")*ApoioK+((IFERROR(INDEX(ApoioA,MATCH($B43,ApoioB,0)),IF(COUNTIF(ApoioA,$B43)&gt;0,$B43,IF($B43="RESOLUÇÃO 049/2022-CONSUNI/CPPGEC","CAPPG - Res 49",IF($B43="OUTROS","DIREÇÃO","")))))="PPGH/PPGDH")*ApoioL)),COUNTIFS(ViagensM,ApoioA,ViagensC,"Cancelada",ViagensN,""))&gt;0,"Pendente",SUMPRODUCT((--(ApoioA&lt;&gt;"")*--(((ApoioA=(IFERROR(INDEX(ApoioA,MATCH($B43,ApoioB,0)),IF(COUNTIF(ApoioA,$B43)&gt;0,$B43,IF($B43="RESOLUÇÃO 049/2022-CONSUNI/CPPGEC","CAPPG - Res 49",IF($B43="OUTROS","DIREÇÃO",""))))))+((IFERROR(INDEX(ApoioA,MATCH($B43,ApoioB,0)),IF(COUNTIF(ApoioA,$B43)&gt;0,$B43,IF($B43="RESOLUÇÃO 049/2022-CONSUNI/CPPGEC","CAPPG - Res 49",IF($B43="OUTROS","DIREÇÃO","")))))="DIREÇÃO")*(LEFT(ApoioA,9)="DIREÇÃO -"))&gt;0))+(--(ApoioA="PPGEL +")*(((IFERROR(INDEX(ApoioA,MATCH($B43,ApoioB,0)),IF(COUNTIF(ApoioA,$B43)&gt;0,$B43,IF($B43="RESOLUÇÃO 049/2022-CONSUNI/CPPGEC","CAPPG - Res 49",IF($B43="OUTROS","DIREÇÃO","")))))="PPGE")*ApoioJ+((IFERROR(INDEX(ApoioA,MATCH($B43,ApoioB,0)),IF(COUNTIF(ApoioA,$B43)&gt;0,$B43,IF($B43="RESOLUÇÃO 049/2022-CONSUNI/CPPGEC","CAPPG - Res 49",IF($B43="OUTROS","DIREÇÃO","")))))="PPGEL")*ApoioK+((IFERROR(INDEX(ApoioA,MATCH($B43,ApoioB,0)),IF(COUNTIF(ApoioA,$B43)&gt;0,$B43,IF($B43="RESOLUÇÃO 049/2022-CONSUNI/CPPGEC","CAPPG - Res 49",IF($B43="OUTROS","DIREÇÃO","")))))="PPGH/PPGDH")*ApoioL)),(SUMIFS(ViagensK,ViagensM,ApoioA,ViagensC,"&lt;&gt;Cancelada")+SUMIFS(ViagensK,ViagensM,ApoioA,ViagensC,"Cancelada",ViagensN,"Sim"))))</f>
        <v/>
      </c>
      <c r="G43" s="110">
        <f>IF(AND(ISNUMBER(E43),ISNUMBER(F43)),E43-F43,"Pendente")</f>
        <v/>
      </c>
      <c r="H43" s="80" t="n"/>
      <c r="I43" s="109">
        <f>IF(SUMPRODUCT((--(ApoioA&lt;&gt;"")*--(((ApoioA=(IFERROR(INDEX(ApoioA,MATCH($B43,ApoioB,0)),IF(COUNTIF(ApoioA,$B43)&gt;0,$B43,IF($B43="RESOLUÇÃO 049/2022-CONSUNI/CPPGEC","CAPPG - Res 49",IF($B43="OUTROS","DIREÇÃO",""))))))+((IFERROR(INDEX(ApoioA,MATCH($B43,ApoioB,0)),IF(COUNTIF(ApoioA,$B43)&gt;0,$B43,IF($B43="RESOLUÇÃO 049/2022-CONSUNI/CPPGEC","CAPPG - Res 49",IF($B43="OUTROS","DIREÇÃO","")))))="DIREÇÃO")*(LEFT(ApoioA,9)="DIREÇÃO -"))&gt;0))+(--(ApoioA="PPGEL +")*(((IFERROR(INDEX(ApoioA,MATCH($B43,ApoioB,0)),IF(COUNTIF(ApoioA,$B43)&gt;0,$B43,IF($B43="RESOLUÇÃO 049/2022-CONSUNI/CPPGEC","CAPPG - Res 49",IF($B43="OUTROS","DIREÇÃO","")))))="PPGE")*ApoioJ+((IFERROR(INDEX(ApoioA,MATCH($B43,ApoioB,0)),IF(COUNTIF(ApoioA,$B43)&gt;0,$B43,IF($B43="RESOLUÇÃO 049/2022-CONSUNI/CPPGEC","CAPPG - Res 49",IF($B43="OUTROS","DIREÇÃO","")))))="PPGEL")*ApoioK+((IFERROR(INDEX(ApoioA,MATCH($B43,ApoioB,0)),IF(COUNTIF(ApoioA,$B43)&gt;0,$B43,IF($B43="RESOLUÇÃO 049/2022-CONSUNI/CPPGEC","CAPPG - Res 49",IF($B43="OUTROS","DIREÇÃO","")))))="PPGH/PPGDH")*ApoioL)),--ISNUMBER(ApoioE))=0,"Pendente",SUMPRODUCT((--(ApoioA&lt;&gt;"")*--(((ApoioA=(IFERROR(INDEX(ApoioA,MATCH($B43,ApoioB,0)),IF(COUNTIF(ApoioA,$B43)&gt;0,$B43,IF($B43="RESOLUÇÃO 049/2022-CONSUNI/CPPGEC","CAPPG - Res 49",IF($B43="OUTROS","DIREÇÃO",""))))))+((IFERROR(INDEX(ApoioA,MATCH($B43,ApoioB,0)),IF(COUNTIF(ApoioA,$B43)&gt;0,$B43,IF($B43="RESOLUÇÃO 049/2022-CONSUNI/CPPGEC","CAPPG - Res 49",IF($B43="OUTROS","DIREÇÃO","")))))="DIREÇÃO")*(LEFT(ApoioA,9)="DIREÇÃO -"))&gt;0))+(--(ApoioA="PPGEL +")*(((IFERROR(INDEX(ApoioA,MATCH($B43,ApoioB,0)),IF(COUNTIF(ApoioA,$B43)&gt;0,$B43,IF($B43="RESOLUÇÃO 049/2022-CONSUNI/CPPGEC","CAPPG - Res 49",IF($B43="OUTROS","DIREÇÃO","")))))="PPGE")*ApoioJ+((IFERROR(INDEX(ApoioA,MATCH($B43,ApoioB,0)),IF(COUNTIF(ApoioA,$B43)&gt;0,$B43,IF($B43="RESOLUÇÃO 049/2022-CONSUNI/CPPGEC","CAPPG - Res 49",IF($B43="OUTROS","DIREÇÃO","")))))="PPGEL")*ApoioK+((IFERROR(INDEX(ApoioA,MATCH($B43,ApoioB,0)),IF(COUNTIF(ApoioA,$B43)&gt;0,$B43,IF($B43="RESOLUÇÃO 049/2022-CONSUNI/CPPGEC","CAPPG - Res 49",IF($B43="OUTROS","DIREÇÃO","")))))="PPGH/PPGDH")*ApoioL)),ApoioE))</f>
        <v/>
      </c>
      <c r="J43" s="108">
        <f>IF(SUMPRODUCT((--(ApoioA&lt;&gt;"")*--(((ApoioA=(IFERROR(INDEX(ApoioA,MATCH($B43,ApoioB,0)),IF(COUNTIF(ApoioA,$B43)&gt;0,$B43,IF($B43="RESOLUÇÃO 049/2022-CONSUNI/CPPGEC","CAPPG - Res 49",IF($B43="OUTROS","DIREÇÃO",""))))))+((IFERROR(INDEX(ApoioA,MATCH($B43,ApoioB,0)),IF(COUNTIF(ApoioA,$B43)&gt;0,$B43,IF($B43="RESOLUÇÃO 049/2022-CONSUNI/CPPGEC","CAPPG - Res 49",IF($B43="OUTROS","DIREÇÃO","")))))="DIREÇÃO")*(LEFT(ApoioA,9)="DIREÇÃO -"))&gt;0))+(--(ApoioA="PPGEL +")*(((IFERROR(INDEX(ApoioA,MATCH($B43,ApoioB,0)),IF(COUNTIF(ApoioA,$B43)&gt;0,$B43,IF($B43="RESOLUÇÃO 049/2022-CONSUNI/CPPGEC","CAPPG - Res 49",IF($B43="OUTROS","DIREÇÃO","")))))="PPGE")*ApoioJ+((IFERROR(INDEX(ApoioA,MATCH($B43,ApoioB,0)),IF(COUNTIF(ApoioA,$B43)&gt;0,$B43,IF($B43="RESOLUÇÃO 049/2022-CONSUNI/CPPGEC","CAPPG - Res 49",IF($B43="OUTROS","DIREÇÃO","")))))="PPGEL")*ApoioK+((IFERROR(INDEX(ApoioA,MATCH($B43,ApoioB,0)),IF(COUNTIF(ApoioA,$B43)&gt;0,$B43,IF($B43="RESOLUÇÃO 049/2022-CONSUNI/CPPGEC","CAPPG - Res 49",IF($B43="OUTROS","DIREÇÃO","")))))="PPGH/PPGDH")*ApoioL)),--ISNUMBER(ApoioG))=0,"Pendente",SUMPRODUCT((--(ApoioA&lt;&gt;"")*--(((ApoioA=(IFERROR(INDEX(ApoioA,MATCH($B43,ApoioB,0)),IF(COUNTIF(ApoioA,$B43)&gt;0,$B43,IF($B43="RESOLUÇÃO 049/2022-CONSUNI/CPPGEC","CAPPG - Res 49",IF($B43="OUTROS","DIREÇÃO",""))))))+((IFERROR(INDEX(ApoioA,MATCH($B43,ApoioB,0)),IF(COUNTIF(ApoioA,$B43)&gt;0,$B43,IF($B43="RESOLUÇÃO 049/2022-CONSUNI/CPPGEC","CAPPG - Res 49",IF($B43="OUTROS","DIREÇÃO","")))))="DIREÇÃO")*(LEFT(ApoioA,9)="DIREÇÃO -"))&gt;0))+(--(ApoioA="PPGEL +")*(((IFERROR(INDEX(ApoioA,MATCH($B43,ApoioB,0)),IF(COUNTIF(ApoioA,$B43)&gt;0,$B43,IF($B43="RESOLUÇÃO 049/2022-CONSUNI/CPPGEC","CAPPG - Res 49",IF($B43="OUTROS","DIREÇÃO","")))))="PPGE")*ApoioJ+((IFERROR(INDEX(ApoioA,MATCH($B43,ApoioB,0)),IF(COUNTIF(ApoioA,$B43)&gt;0,$B43,IF($B43="RESOLUÇÃO 049/2022-CONSUNI/CPPGEC","CAPPG - Res 49",IF($B43="OUTROS","DIREÇÃO","")))))="PPGEL")*ApoioK+((IFERROR(INDEX(ApoioA,MATCH($B43,ApoioB,0)),IF(COUNTIF(ApoioA,$B43)&gt;0,$B43,IF($B43="RESOLUÇÃO 049/2022-CONSUNI/CPPGEC","CAPPG - Res 49",IF($B43="OUTROS","DIREÇÃO","")))))="PPGH/PPGDH")*ApoioL)),ApoioG))</f>
        <v/>
      </c>
      <c r="K43" s="110">
        <f>IF(AND(ISNUMBER(I43),ISNUMBER(J43)),I43-J43,"Pendente")</f>
        <v/>
      </c>
      <c r="L43" s="96" t="n"/>
      <c r="M43" s="110">
        <f>IF(AND(ISNUMBER(G43),ISNUMBER(K43)),G43+K43,"Pendente")</f>
        <v/>
      </c>
      <c r="O43" s="67" t="inlineStr">
        <is>
          <t>Grupo principal</t>
        </is>
      </c>
      <c r="P43" s="67">
        <f>B43</f>
        <v/>
      </c>
    </row>
    <row r="44" ht="15.75" customHeight="1" s="61">
      <c r="A44" s="69" t="n"/>
      <c r="B44" s="113" t="n"/>
      <c r="C44" s="114" t="n"/>
      <c r="D44" s="70" t="n"/>
      <c r="E44" s="70" t="n"/>
      <c r="F44" s="70" t="n"/>
      <c r="G44" s="70" t="n"/>
      <c r="H44" s="70" t="n"/>
      <c r="I44" s="70" t="n"/>
      <c r="J44" s="70" t="n"/>
      <c r="K44" s="70" t="n"/>
      <c r="L44" s="70" t="n"/>
      <c r="M44" s="70" t="n"/>
    </row>
    <row r="45" ht="15.75" customHeight="1" s="61">
      <c r="A45" s="69" t="n"/>
      <c r="B45" s="115" t="inlineStr">
        <is>
          <t>TOTAL (Diárias, Passagens, Transportes)</t>
        </is>
      </c>
      <c r="C45" s="95">
        <f>IF(SUMPRODUCT(--(ApoioA&lt;&gt;"")*--(ApoioA&lt;&gt;"PPGEL +")*--(LEFT(ApoioA,9)&lt;&gt;"DIREÇÃO -")*--(ApoioC&lt;&gt;"SEG 5 AFAST PAÍS"),COUNTIFS(ResumoB,ApoioB,ResumoE,"&lt;&gt;",ResumoC,"Pendente"))+SUMPRODUCT(--(ApoioA&lt;&gt;"")*--(ApoioA&lt;&gt;"PPGEL +")*--(LEFT(ApoioA,9)&lt;&gt;"DIREÇÃO -")*--(ApoioC&lt;&gt;"SEG 5 AFAST PAÍS"),--(ApoioA&lt;&gt;ApoioB),COUNTIFS(ResumoB,ApoioA,ResumoE,"&lt;&gt;",ResumoC,"Pendente"))+IF(COUNTIF(ApoioA,"OUTROS")+COUNTIF(ApoioB,"OUTROS")=0,COUNTIFS(ResumoB,"OUTROS",ResumoC,"Pendente"),0)+IF(COUNTIF(ApoioA,"RESOLUÇÃO 049/2022-CONSUNI/CPPGEC")+COUNTIF(ApoioB,"RESOLUÇÃO 049/2022-CONSUNI/CPPGEC")=0,COUNTIFS(ResumoB,"RESOLUÇÃO 049/2022-CONSUNI/CPPGEC",ResumoC,"Pendente"),0)&gt;0,"Pendente",SUMPRODUCT(--(ApoioA&lt;&gt;"")*--(ApoioA&lt;&gt;"PPGEL +")*--(LEFT(ApoioA,9)&lt;&gt;"DIREÇÃO -")*--(ApoioC&lt;&gt;"SEG 5 AFAST PAÍS"),SUMIFS(ResumoC,ResumoB,ApoioB,ResumoE,"&lt;&gt;"))+SUMPRODUCT(--(ApoioA&lt;&gt;"")*--(ApoioA&lt;&gt;"PPGEL +")*--(LEFT(ApoioA,9)&lt;&gt;"DIREÇÃO -")*--(ApoioC&lt;&gt;"SEG 5 AFAST PAÍS"),--(ApoioA&lt;&gt;ApoioB),SUMIFS(ResumoC,ResumoB,ApoioA,ResumoE,"&lt;&gt;"))+IF(COUNTIF(ApoioA,"OUTROS")+COUNTIF(ApoioB,"OUTROS")=0,SUMIF(ResumoB,"OUTROS",ResumoC),0)+IF(COUNTIF(ApoioA,"RESOLUÇÃO 049/2022-CONSUNI/CPPGEC")+COUNTIF(ApoioB,"RESOLUÇÃO 049/2022-CONSUNI/CPPGEC")=0,SUMIF(ResumoB,"RESOLUÇÃO 049/2022-CONSUNI/CPPGEC",ResumoC),0))</f>
        <v/>
      </c>
      <c r="D45" s="70" t="n"/>
      <c r="E45" s="95">
        <f>IF(SUMPRODUCT(--(ApoioA&lt;&gt;"")*--(ApoioA&lt;&gt;"PPGEL +")*--(LEFT(ApoioA,9)&lt;&gt;"DIREÇÃO -")*--(ApoioC&lt;&gt;"SEG 5 AFAST PAÍS"),COUNTIFS(ResumoB,ApoioB,ResumoE,"&lt;&gt;",ResumoE,"Pendente"))+SUMPRODUCT(--(ApoioA&lt;&gt;"")*--(ApoioA&lt;&gt;"PPGEL +")*--(LEFT(ApoioA,9)&lt;&gt;"DIREÇÃO -")*--(ApoioC&lt;&gt;"SEG 5 AFAST PAÍS"),--(ApoioA&lt;&gt;ApoioB),COUNTIFS(ResumoB,ApoioA,ResumoE,"&lt;&gt;",ResumoE,"Pendente"))+IF(COUNTIF(ApoioA,"OUTROS")+COUNTIF(ApoioB,"OUTROS")=0,COUNTIFS(ResumoB,"OUTROS",ResumoE,"Pendente"),0)+IF(COUNTIF(ApoioA,"RESOLUÇÃO 049/2022-CONSUNI/CPPGEC")+COUNTIF(ApoioB,"RESOLUÇÃO 049/2022-CONSUNI/CPPGEC")=0,COUNTIFS(ResumoB,"RESOLUÇÃO 049/2022-CONSUNI/CPPGEC",ResumoE,"Pendente"),0)&gt;0,"Pendente",SUMPRODUCT(--(ApoioA&lt;&gt;"")*--(ApoioA&lt;&gt;"PPGEL +")*--(LEFT(ApoioA,9)&lt;&gt;"DIREÇÃO -")*--(ApoioC&lt;&gt;"SEG 5 AFAST PAÍS"),SUMIFS(ResumoE,ResumoB,ApoioB,ResumoE,"&lt;&gt;"))+SUMPRODUCT(--(ApoioA&lt;&gt;"")*--(ApoioA&lt;&gt;"PPGEL +")*--(LEFT(ApoioA,9)&lt;&gt;"DIREÇÃO -")*--(ApoioC&lt;&gt;"SEG 5 AFAST PAÍS"),--(ApoioA&lt;&gt;ApoioB),SUMIFS(ResumoE,ResumoB,ApoioA,ResumoE,"&lt;&gt;"))+IF(COUNTIF(ApoioA,"OUTROS")+COUNTIF(ApoioB,"OUTROS")=0,SUMIF(ResumoB,"OUTROS",ResumoE),0)+IF(COUNTIF(ApoioA,"RESOLUÇÃO 049/2022-CONSUNI/CPPGEC")+COUNTIF(ApoioB,"RESOLUÇÃO 049/2022-CONSUNI/CPPGEC")=0,SUMIF(ResumoB,"RESOLUÇÃO 049/2022-CONSUNI/CPPGEC",ResumoE),0))</f>
        <v/>
      </c>
      <c r="F45" s="95">
        <f>IF(SUMPRODUCT(--(ApoioA&lt;&gt;"")*--(ApoioA&lt;&gt;"PPGEL +")*--(LEFT(ApoioA,9)&lt;&gt;"DIREÇÃO -")*--(ApoioC&lt;&gt;"SEG 5 AFAST PAÍS"),COUNTIFS(ResumoB,ApoioB,ResumoE,"&lt;&gt;",ResumoF,"Pendente"))+SUMPRODUCT(--(ApoioA&lt;&gt;"")*--(ApoioA&lt;&gt;"PPGEL +")*--(LEFT(ApoioA,9)&lt;&gt;"DIREÇÃO -")*--(ApoioC&lt;&gt;"SEG 5 AFAST PAÍS"),--(ApoioA&lt;&gt;ApoioB),COUNTIFS(ResumoB,ApoioA,ResumoE,"&lt;&gt;",ResumoF,"Pendente"))+IF(COUNTIF(ApoioA,"OUTROS")+COUNTIF(ApoioB,"OUTROS")=0,COUNTIFS(ResumoB,"OUTROS",ResumoF,"Pendente"),0)+IF(COUNTIF(ApoioA,"RESOLUÇÃO 049/2022-CONSUNI/CPPGEC")+COUNTIF(ApoioB,"RESOLUÇÃO 049/2022-CONSUNI/CPPGEC")=0,COUNTIFS(ResumoB,"RESOLUÇÃO 049/2022-CONSUNI/CPPGEC",ResumoF,"Pendente"),0)&gt;0,"Pendente",SUMPRODUCT(--(ApoioA&lt;&gt;"")*--(ApoioA&lt;&gt;"PPGEL +")*--(LEFT(ApoioA,9)&lt;&gt;"DIREÇÃO -")*--(ApoioC&lt;&gt;"SEG 5 AFAST PAÍS"),SUMIFS(ResumoF,ResumoB,ApoioB,ResumoE,"&lt;&gt;"))+SUMPRODUCT(--(ApoioA&lt;&gt;"")*--(ApoioA&lt;&gt;"PPGEL +")*--(LEFT(ApoioA,9)&lt;&gt;"DIREÇÃO -")*--(ApoioC&lt;&gt;"SEG 5 AFAST PAÍS"),--(ApoioA&lt;&gt;ApoioB),SUMIFS(ResumoF,ResumoB,ApoioA,ResumoE,"&lt;&gt;"))+IF(COUNTIF(ApoioA,"OUTROS")+COUNTIF(ApoioB,"OUTROS")=0,SUMIF(ResumoB,"OUTROS",ResumoF),0)+IF(COUNTIF(ApoioA,"RESOLUÇÃO 049/2022-CONSUNI/CPPGEC")+COUNTIF(ApoioB,"RESOLUÇÃO 049/2022-CONSUNI/CPPGEC")=0,SUMIF(ResumoB,"RESOLUÇÃO 049/2022-CONSUNI/CPPGEC",ResumoF),0))</f>
        <v/>
      </c>
      <c r="G45" s="95">
        <f>IF(SUMPRODUCT(--(ApoioA&lt;&gt;"")*--(ApoioA&lt;&gt;"PPGEL +")*--(LEFT(ApoioA,9)&lt;&gt;"DIREÇÃO -")*--(ApoioC&lt;&gt;"SEG 5 AFAST PAÍS"),COUNTIFS(ResumoB,ApoioB,ResumoE,"&lt;&gt;",ResumoG,"Pendente"))+SUMPRODUCT(--(ApoioA&lt;&gt;"")*--(ApoioA&lt;&gt;"PPGEL +")*--(LEFT(ApoioA,9)&lt;&gt;"DIREÇÃO -")*--(ApoioC&lt;&gt;"SEG 5 AFAST PAÍS"),--(ApoioA&lt;&gt;ApoioB),COUNTIFS(ResumoB,ApoioA,ResumoE,"&lt;&gt;",ResumoG,"Pendente"))+IF(COUNTIF(ApoioA,"OUTROS")+COUNTIF(ApoioB,"OUTROS")=0,COUNTIFS(ResumoB,"OUTROS",ResumoG,"Pendente"),0)+IF(COUNTIF(ApoioA,"RESOLUÇÃO 049/2022-CONSUNI/CPPGEC")+COUNTIF(ApoioB,"RESOLUÇÃO 049/2022-CONSUNI/CPPGEC")=0,COUNTIFS(ResumoB,"RESOLUÇÃO 049/2022-CONSUNI/CPPGEC",ResumoG,"Pendente"),0)&gt;0,"Pendente",SUMPRODUCT(--(ApoioA&lt;&gt;"")*--(ApoioA&lt;&gt;"PPGEL +")*--(LEFT(ApoioA,9)&lt;&gt;"DIREÇÃO -")*--(ApoioC&lt;&gt;"SEG 5 AFAST PAÍS"),SUMIFS(ResumoG,ResumoB,ApoioB,ResumoE,"&lt;&gt;"))+SUMPRODUCT(--(ApoioA&lt;&gt;"")*--(ApoioA&lt;&gt;"PPGEL +")*--(LEFT(ApoioA,9)&lt;&gt;"DIREÇÃO -")*--(ApoioC&lt;&gt;"SEG 5 AFAST PAÍS"),--(ApoioA&lt;&gt;ApoioB),SUMIFS(ResumoG,ResumoB,ApoioA,ResumoE,"&lt;&gt;"))+IF(COUNTIF(ApoioA,"OUTROS")+COUNTIF(ApoioB,"OUTROS")=0,SUMIF(ResumoB,"OUTROS",ResumoG),0)+IF(COUNTIF(ApoioA,"RESOLUÇÃO 049/2022-CONSUNI/CPPGEC")+COUNTIF(ApoioB,"RESOLUÇÃO 049/2022-CONSUNI/CPPGEC")=0,SUMIF(ResumoB,"RESOLUÇÃO 049/2022-CONSUNI/CPPGEC",ResumoG),0))</f>
        <v/>
      </c>
      <c r="H45" s="80" t="n"/>
      <c r="I45" s="95">
        <f>IF(SUMPRODUCT(--(ApoioA&lt;&gt;"")*--(ApoioA&lt;&gt;"PPGEL +")*--(LEFT(ApoioA,9)&lt;&gt;"DIREÇÃO -")*--(ApoioC&lt;&gt;"SEG 5 AFAST PAÍS"),COUNTIFS(ResumoB,ApoioB,ResumoE,"&lt;&gt;",ResumoI,"Pendente"))+SUMPRODUCT(--(ApoioA&lt;&gt;"")*--(ApoioA&lt;&gt;"PPGEL +")*--(LEFT(ApoioA,9)&lt;&gt;"DIREÇÃO -")*--(ApoioC&lt;&gt;"SEG 5 AFAST PAÍS"),--(ApoioA&lt;&gt;ApoioB),COUNTIFS(ResumoB,ApoioA,ResumoE,"&lt;&gt;",ResumoI,"Pendente"))+IF(COUNTIF(ApoioA,"OUTROS")+COUNTIF(ApoioB,"OUTROS")=0,COUNTIFS(ResumoB,"OUTROS",ResumoI,"Pendente"),0)+IF(COUNTIF(ApoioA,"RESOLUÇÃO 049/2022-CONSUNI/CPPGEC")+COUNTIF(ApoioB,"RESOLUÇÃO 049/2022-CONSUNI/CPPGEC")=0,COUNTIFS(ResumoB,"RESOLUÇÃO 049/2022-CONSUNI/CPPGEC",ResumoI,"Pendente"),0)&gt;0,"Pendente",SUMPRODUCT(--(ApoioA&lt;&gt;"")*--(ApoioA&lt;&gt;"PPGEL +")*--(LEFT(ApoioA,9)&lt;&gt;"DIREÇÃO -")*--(ApoioC&lt;&gt;"SEG 5 AFAST PAÍS"),SUMIFS(ResumoI,ResumoB,ApoioB,ResumoE,"&lt;&gt;"))+SUMPRODUCT(--(ApoioA&lt;&gt;"")*--(ApoioA&lt;&gt;"PPGEL +")*--(LEFT(ApoioA,9)&lt;&gt;"DIREÇÃO -")*--(ApoioC&lt;&gt;"SEG 5 AFAST PAÍS"),--(ApoioA&lt;&gt;ApoioB),SUMIFS(ResumoI,ResumoB,ApoioA,ResumoE,"&lt;&gt;"))+IF(COUNTIF(ApoioA,"OUTROS")+COUNTIF(ApoioB,"OUTROS")=0,SUMIF(ResumoB,"OUTROS",ResumoI),0)+IF(COUNTIF(ApoioA,"RESOLUÇÃO 049/2022-CONSUNI/CPPGEC")+COUNTIF(ApoioB,"RESOLUÇÃO 049/2022-CONSUNI/CPPGEC")=0,SUMIF(ResumoB,"RESOLUÇÃO 049/2022-CONSUNI/CPPGEC",ResumoI),0))</f>
        <v/>
      </c>
      <c r="J45" s="95">
        <f>IF(SUMPRODUCT(--(ApoioA&lt;&gt;"")*--(ApoioA&lt;&gt;"PPGEL +")*--(LEFT(ApoioA,9)&lt;&gt;"DIREÇÃO -")*--(ApoioC&lt;&gt;"SEG 5 AFAST PAÍS"),COUNTIFS(ResumoB,ApoioB,ResumoE,"&lt;&gt;",ResumoJ,"Pendente"))+SUMPRODUCT(--(ApoioA&lt;&gt;"")*--(ApoioA&lt;&gt;"PPGEL +")*--(LEFT(ApoioA,9)&lt;&gt;"DIREÇÃO -")*--(ApoioC&lt;&gt;"SEG 5 AFAST PAÍS"),--(ApoioA&lt;&gt;ApoioB),COUNTIFS(ResumoB,ApoioA,ResumoE,"&lt;&gt;",ResumoJ,"Pendente"))+IF(COUNTIF(ApoioA,"OUTROS")+COUNTIF(ApoioB,"OUTROS")=0,COUNTIFS(ResumoB,"OUTROS",ResumoJ,"Pendente"),0)+IF(COUNTIF(ApoioA,"RESOLUÇÃO 049/2022-CONSUNI/CPPGEC")+COUNTIF(ApoioB,"RESOLUÇÃO 049/2022-CONSUNI/CPPGEC")=0,COUNTIFS(ResumoB,"RESOLUÇÃO 049/2022-CONSUNI/CPPGEC",ResumoJ,"Pendente"),0)&gt;0,"Pendente",SUMPRODUCT(--(ApoioA&lt;&gt;"")*--(ApoioA&lt;&gt;"PPGEL +")*--(LEFT(ApoioA,9)&lt;&gt;"DIREÇÃO -")*--(ApoioC&lt;&gt;"SEG 5 AFAST PAÍS"),SUMIFS(ResumoJ,ResumoB,ApoioB,ResumoE,"&lt;&gt;"))+SUMPRODUCT(--(ApoioA&lt;&gt;"")*--(ApoioA&lt;&gt;"PPGEL +")*--(LEFT(ApoioA,9)&lt;&gt;"DIREÇÃO -")*--(ApoioC&lt;&gt;"SEG 5 AFAST PAÍS"),--(ApoioA&lt;&gt;ApoioB),SUMIFS(ResumoJ,ResumoB,ApoioA,ResumoE,"&lt;&gt;"))+IF(COUNTIF(ApoioA,"OUTROS")+COUNTIF(ApoioB,"OUTROS")=0,SUMIF(ResumoB,"OUTROS",ResumoJ),0)+IF(COUNTIF(ApoioA,"RESOLUÇÃO 049/2022-CONSUNI/CPPGEC")+COUNTIF(ApoioB,"RESOLUÇÃO 049/2022-CONSUNI/CPPGEC")=0,SUMIF(ResumoB,"RESOLUÇÃO 049/2022-CONSUNI/CPPGEC",ResumoJ),0))</f>
        <v/>
      </c>
      <c r="K45" s="95">
        <f>IF(SUMPRODUCT(--(ApoioA&lt;&gt;"")*--(ApoioA&lt;&gt;"PPGEL +")*--(LEFT(ApoioA,9)&lt;&gt;"DIREÇÃO -")*--(ApoioC&lt;&gt;"SEG 5 AFAST PAÍS"),COUNTIFS(ResumoB,ApoioB,ResumoE,"&lt;&gt;",ResumoK,"Pendente"))+SUMPRODUCT(--(ApoioA&lt;&gt;"")*--(ApoioA&lt;&gt;"PPGEL +")*--(LEFT(ApoioA,9)&lt;&gt;"DIREÇÃO -")*--(ApoioC&lt;&gt;"SEG 5 AFAST PAÍS"),--(ApoioA&lt;&gt;ApoioB),COUNTIFS(ResumoB,ApoioA,ResumoE,"&lt;&gt;",ResumoK,"Pendente"))+IF(COUNTIF(ApoioA,"OUTROS")+COUNTIF(ApoioB,"OUTROS")=0,COUNTIFS(ResumoB,"OUTROS",ResumoK,"Pendente"),0)+IF(COUNTIF(ApoioA,"RESOLUÇÃO 049/2022-CONSUNI/CPPGEC")+COUNTIF(ApoioB,"RESOLUÇÃO 049/2022-CONSUNI/CPPGEC")=0,COUNTIFS(ResumoB,"RESOLUÇÃO 049/2022-CONSUNI/CPPGEC",ResumoK,"Pendente"),0)&gt;0,"Pendente",SUMPRODUCT(--(ApoioA&lt;&gt;"")*--(ApoioA&lt;&gt;"PPGEL +")*--(LEFT(ApoioA,9)&lt;&gt;"DIREÇÃO -")*--(ApoioC&lt;&gt;"SEG 5 AFAST PAÍS"),SUMIFS(ResumoK,ResumoB,ApoioB,ResumoE,"&lt;&gt;"))+SUMPRODUCT(--(ApoioA&lt;&gt;"")*--(ApoioA&lt;&gt;"PPGEL +")*--(LEFT(ApoioA,9)&lt;&gt;"DIREÇÃO -")*--(ApoioC&lt;&gt;"SEG 5 AFAST PAÍS"),--(ApoioA&lt;&gt;ApoioB),SUMIFS(ResumoK,ResumoB,ApoioA,ResumoE,"&lt;&gt;"))+IF(COUNTIF(ApoioA,"OUTROS")+COUNTIF(ApoioB,"OUTROS")=0,SUMIF(ResumoB,"OUTROS",ResumoK),0)+IF(COUNTIF(ApoioA,"RESOLUÇÃO 049/2022-CONSUNI/CPPGEC")+COUNTIF(ApoioB,"RESOLUÇÃO 049/2022-CONSUNI/CPPGEC")=0,SUMIF(ResumoB,"RESOLUÇÃO 049/2022-CONSUNI/CPPGEC",ResumoK),0))</f>
        <v/>
      </c>
      <c r="L45" s="70" t="n"/>
      <c r="M45" s="95">
        <f>IF(SUMPRODUCT(--(ApoioA&lt;&gt;"")*--(ApoioA&lt;&gt;"PPGEL +")*--(LEFT(ApoioA,9)&lt;&gt;"DIREÇÃO -")*--(ApoioC&lt;&gt;"SEG 5 AFAST PAÍS"),COUNTIFS(ResumoB,ApoioB,ResumoE,"&lt;&gt;",ResumoM,"Pendente"))+SUMPRODUCT(--(ApoioA&lt;&gt;"")*--(ApoioA&lt;&gt;"PPGEL +")*--(LEFT(ApoioA,9)&lt;&gt;"DIREÇÃO -")*--(ApoioC&lt;&gt;"SEG 5 AFAST PAÍS"),--(ApoioA&lt;&gt;ApoioB),COUNTIFS(ResumoB,ApoioA,ResumoE,"&lt;&gt;",ResumoM,"Pendente"))+IF(COUNTIF(ApoioA,"OUTROS")+COUNTIF(ApoioB,"OUTROS")=0,COUNTIFS(ResumoB,"OUTROS",ResumoM,"Pendente"),0)+IF(COUNTIF(ApoioA,"RESOLUÇÃO 049/2022-CONSUNI/CPPGEC")+COUNTIF(ApoioB,"RESOLUÇÃO 049/2022-CONSUNI/CPPGEC")=0,COUNTIFS(ResumoB,"RESOLUÇÃO 049/2022-CONSUNI/CPPGEC",ResumoM,"Pendente"),0)&gt;0,"Pendente",SUMPRODUCT(--(ApoioA&lt;&gt;"")*--(ApoioA&lt;&gt;"PPGEL +")*--(LEFT(ApoioA,9)&lt;&gt;"DIREÇÃO -")*--(ApoioC&lt;&gt;"SEG 5 AFAST PAÍS"),SUMIFS(ResumoM,ResumoB,ApoioB,ResumoE,"&lt;&gt;"))+SUMPRODUCT(--(ApoioA&lt;&gt;"")*--(ApoioA&lt;&gt;"PPGEL +")*--(LEFT(ApoioA,9)&lt;&gt;"DIREÇÃO -")*--(ApoioC&lt;&gt;"SEG 5 AFAST PAÍS"),--(ApoioA&lt;&gt;ApoioB),SUMIFS(ResumoM,ResumoB,ApoioA,ResumoE,"&lt;&gt;"))+IF(COUNTIF(ApoioA,"OUTROS")+COUNTIF(ApoioB,"OUTROS")=0,SUMIF(ResumoB,"OUTROS",ResumoM),0)+IF(COUNTIF(ApoioA,"RESOLUÇÃO 049/2022-CONSUNI/CPPGEC")+COUNTIF(ApoioB,"RESOLUÇÃO 049/2022-CONSUNI/CPPGEC")=0,SUMIF(ResumoB,"RESOLUÇÃO 049/2022-CONSUNI/CPPGEC",ResumoM),0))</f>
        <v/>
      </c>
    </row>
    <row r="46" ht="12.75" customHeight="1" s="61">
      <c r="A46" s="69" t="n"/>
      <c r="B46" s="69" t="n"/>
      <c r="C46" s="70" t="n"/>
      <c r="D46" s="70" t="n"/>
      <c r="E46" s="70" t="n"/>
      <c r="F46" s="70" t="n"/>
      <c r="G46" s="70" t="n"/>
      <c r="H46" s="70" t="n"/>
      <c r="I46" s="70" t="n"/>
      <c r="J46" s="70" t="n"/>
      <c r="K46" s="70" t="n"/>
      <c r="L46" s="70" t="n"/>
      <c r="M46" s="70" t="n"/>
    </row>
    <row r="47" ht="12.75" customHeight="1" s="61">
      <c r="A47" s="69" t="n"/>
      <c r="B47" s="69" t="n"/>
      <c r="C47" s="70" t="n"/>
      <c r="D47" s="70" t="n"/>
      <c r="E47" s="70" t="n"/>
      <c r="F47" s="70" t="n"/>
      <c r="G47" s="70" t="n"/>
      <c r="H47" s="70" t="n"/>
      <c r="I47" s="70" t="n"/>
      <c r="J47" s="70" t="n"/>
      <c r="K47" s="70" t="n"/>
      <c r="L47" s="70" t="n"/>
      <c r="M47" s="70" t="n"/>
    </row>
    <row r="48" ht="15.75" customHeight="1" s="61">
      <c r="A48" s="69" t="n"/>
      <c r="B48" s="116" t="inlineStr">
        <is>
          <t>OBS.: DIÁRIAS - OUTROS (ADMINISTRATIVO)</t>
        </is>
      </c>
      <c r="C48" s="70" t="n"/>
      <c r="D48" s="70" t="n"/>
      <c r="E48" s="70" t="n"/>
      <c r="F48" s="70" t="n"/>
      <c r="G48" s="70" t="n"/>
      <c r="H48" s="70" t="n"/>
      <c r="I48" s="70" t="n"/>
      <c r="J48" s="70" t="n"/>
      <c r="K48" s="70" t="n"/>
      <c r="L48" s="70" t="n"/>
      <c r="M48" s="70" t="n"/>
    </row>
    <row r="49" ht="12.75" customHeight="1" s="61">
      <c r="A49" s="69" t="n"/>
      <c r="B49" s="69" t="n"/>
      <c r="C49" s="70" t="n"/>
      <c r="D49" s="70" t="n"/>
      <c r="E49" s="70" t="n"/>
      <c r="F49" s="70" t="n"/>
      <c r="G49" s="70" t="n"/>
      <c r="H49" s="70" t="n"/>
      <c r="I49" s="70" t="n"/>
      <c r="J49" s="70" t="n"/>
      <c r="K49" s="70" t="n"/>
      <c r="L49" s="70" t="n"/>
      <c r="M49" s="70" t="n"/>
    </row>
    <row r="50" ht="15.75" customHeight="1" s="61">
      <c r="A50" s="69" t="n"/>
      <c r="B50" s="117" t="inlineStr">
        <is>
          <t>Direção</t>
        </is>
      </c>
      <c r="C50" s="118">
        <f>IF(COUNTIFS(ViagensM,"DIREÇÃO",ViagensC,"Cancelada",ViagensN,"")&gt;0,"Pendente",SUMIFS(ViagensK,ViagensM,"DIREÇÃO",ViagensC,"&lt;&gt;Cancelada")+SUMIFS(ViagensK,ViagensM,"DIREÇÃO",ViagensC,"Cancelada",ViagensN,"Sim"))</f>
        <v/>
      </c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</row>
    <row r="51" ht="15.75" customHeight="1" s="61">
      <c r="B51" s="117" t="inlineStr">
        <is>
          <t>AGAS</t>
        </is>
      </c>
      <c r="C51" s="118">
        <f>IF(COUNTIFS(ViagensM,"DIREÇÃO - AGAS",ViagensC,"Cancelada",ViagensN,"")&gt;0,"Pendente",SUMIFS(ViagensK,ViagensM,"DIREÇÃO - AGAS",ViagensC,"&lt;&gt;Cancelada")+SUMIFS(ViagensK,ViagensM,"DIREÇÃO - AGAS",ViagensC,"Cancelada",ViagensN,"Sim"))</f>
        <v/>
      </c>
      <c r="D51" s="70" t="n"/>
      <c r="E51" s="70" t="n"/>
      <c r="F51" s="70" t="n"/>
      <c r="G51" s="70" t="n"/>
      <c r="H51" s="70" t="n"/>
      <c r="I51" s="70" t="n"/>
      <c r="J51" s="70" t="n"/>
      <c r="K51" s="70" t="n"/>
      <c r="L51" s="70" t="n"/>
      <c r="M51" s="70" t="n"/>
    </row>
    <row r="52" ht="15.75" customHeight="1" s="61">
      <c r="A52" s="69" t="n"/>
      <c r="B52" s="117" t="inlineStr">
        <is>
          <t>Banca de Libra</t>
        </is>
      </c>
      <c r="C52" s="118">
        <f>IF(COUNTIFS(ViagensM,"DIREÇÃO - Banca Libras",ViagensC,"Cancelada",ViagensN,"")&gt;0,"Pendente",SUMIFS(ViagensK,ViagensM,"DIREÇÃO - Banca Libras",ViagensC,"&lt;&gt;Cancelada")+SUMIFS(ViagensK,ViagensM,"DIREÇÃO - Banca Libras",ViagensC,"Cancelada",ViagensN,"Sim"))</f>
        <v/>
      </c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70" t="n"/>
    </row>
    <row r="53" ht="15.75" customHeight="1" s="61">
      <c r="A53" s="69" t="n"/>
      <c r="B53" s="117" t="inlineStr">
        <is>
          <t>CAAEX</t>
        </is>
      </c>
      <c r="C53" s="118">
        <f>IF(COUNTIFS(ViagensM,"DIREÇÃO - CAAEX",ViagensC,"Cancelada",ViagensN,"")&gt;0,"Pendente",SUMIFS(ViagensK,ViagensM,"DIREÇÃO - CAAEX",ViagensC,"&lt;&gt;Cancelada")+SUMIFS(ViagensK,ViagensM,"DIREÇÃO - CAAEX",ViagensC,"Cancelada",ViagensN,"Sim"))</f>
        <v/>
      </c>
      <c r="D53" s="70" t="n"/>
      <c r="E53" s="70" t="n"/>
      <c r="F53" s="70" t="n"/>
      <c r="G53" s="70" t="n"/>
      <c r="H53" s="70" t="n"/>
      <c r="I53" s="70" t="n"/>
      <c r="J53" s="70" t="n"/>
      <c r="K53" s="70" t="n"/>
      <c r="L53" s="70" t="n"/>
      <c r="M53" s="70" t="n"/>
    </row>
    <row r="54" ht="15.75" customHeight="1" s="61">
      <c r="A54" s="69" t="n"/>
      <c r="B54" s="117" t="inlineStr">
        <is>
          <t>Empresa Junior</t>
        </is>
      </c>
      <c r="C54" s="118">
        <f>IF(COUNTIFS(ViagensM,"DIREÇÃO - Empr Junior",ViagensC,"Cancelada",ViagensN,"")&gt;0,"Pendente",SUMIFS(ViagensK,ViagensM,"DIREÇÃO - Empr Junior",ViagensC,"&lt;&gt;Cancelada")+SUMIFS(ViagensK,ViagensM,"DIREÇÃO - Empr Junior",ViagensC,"Cancelada",ViagensN,"Sim"))</f>
        <v/>
      </c>
      <c r="D54" s="70" t="n"/>
      <c r="E54" s="70" t="n"/>
      <c r="F54" s="70" t="n"/>
      <c r="G54" s="70" t="n"/>
      <c r="H54" s="70" t="n"/>
      <c r="I54" s="70" t="n"/>
      <c r="J54" s="70" t="n"/>
      <c r="K54" s="70" t="n"/>
      <c r="L54" s="70" t="n"/>
      <c r="M54" s="70" t="n"/>
    </row>
    <row r="55" ht="15.75" customHeight="1" s="61">
      <c r="A55" s="69" t="n"/>
      <c r="B55" s="117" t="inlineStr">
        <is>
          <t>StartUP Summit</t>
        </is>
      </c>
      <c r="C55" s="118">
        <f>IF(COUNTIFS(ViagensM,"DIREÇÃO - StartUp Summit",ViagensC,"Cancelada",ViagensN,"")&gt;0,"Pendente",SUMIFS(ViagensK,ViagensM,"DIREÇÃO - StartUp Summit",ViagensC,"&lt;&gt;Cancelada")+SUMIFS(ViagensK,ViagensM,"DIREÇÃO - StartUp Summit",ViagensC,"Cancelada",ViagensN,"Sim"))</f>
        <v/>
      </c>
      <c r="D55" s="70" t="n"/>
      <c r="E55" s="70" t="n"/>
      <c r="F55" s="70" t="n"/>
      <c r="G55" s="70" t="n"/>
      <c r="H55" s="70" t="n"/>
      <c r="I55" s="70" t="n"/>
      <c r="J55" s="70" t="n"/>
      <c r="K55" s="70" t="n"/>
      <c r="L55" s="70" t="n"/>
      <c r="M55" s="70" t="n"/>
    </row>
    <row r="56" ht="15.75" customHeight="1" s="61">
      <c r="A56" s="69" t="n"/>
      <c r="B56" s="117" t="inlineStr">
        <is>
          <t>StartUp Weekend</t>
        </is>
      </c>
      <c r="C56" s="118">
        <f>IF(COUNTIFS(ViagensM,"DIREÇÃO - StartUp Weekend",ViagensC,"Cancelada",ViagensN,"")&gt;0,"Pendente",SUMIFS(ViagensK,ViagensM,"DIREÇÃO - StartUp Weekend",ViagensC,"&lt;&gt;Cancelada")+SUMIFS(ViagensK,ViagensM,"DIREÇÃO - StartUp Weekend",ViagensC,"Cancelada",ViagensN,"Sim"))</f>
        <v/>
      </c>
      <c r="D56" s="70" t="n"/>
      <c r="E56" s="70" t="n"/>
      <c r="F56" s="70" t="n"/>
      <c r="G56" s="70" t="n"/>
      <c r="H56" s="70" t="n"/>
      <c r="I56" s="70" t="n"/>
      <c r="J56" s="70" t="n"/>
      <c r="K56" s="70" t="n"/>
      <c r="L56" s="70" t="n"/>
      <c r="M56" s="70" t="n"/>
    </row>
    <row r="57" ht="15.75" customHeight="1" s="61">
      <c r="A57" s="69" t="n"/>
      <c r="B57" s="117" t="inlineStr">
        <is>
          <t>Sunset</t>
        </is>
      </c>
      <c r="C57" s="118">
        <f>IF(COUNTIFS(ViagensM,"DIREÇÃO - Sunset",ViagensC,"Cancelada",ViagensN,"")&gt;0,"Pendente",SUMIFS(ViagensK,ViagensM,"DIREÇÃO - Sunset",ViagensC,"&lt;&gt;Cancelada")+SUMIFS(ViagensK,ViagensM,"DIREÇÃO - Sunset",ViagensC,"Cancelada",ViagensN,"Sim"))</f>
        <v/>
      </c>
      <c r="D57" s="70" t="n"/>
      <c r="E57" s="70" t="n"/>
      <c r="F57" s="70" t="n"/>
      <c r="G57" s="70" t="n"/>
      <c r="H57" s="70" t="n"/>
      <c r="I57" s="70" t="n"/>
      <c r="J57" s="70" t="n"/>
      <c r="K57" s="70" t="n"/>
      <c r="L57" s="70" t="n"/>
      <c r="M57" s="70" t="n"/>
    </row>
    <row r="58" ht="16.5" customHeight="1" s="61">
      <c r="A58" s="69" t="n"/>
      <c r="B58" s="119" t="inlineStr">
        <is>
          <t>TOTAL</t>
        </is>
      </c>
      <c r="C58" s="120">
        <f>IF(COUNT(C50:C57)=8,SUM(C50:C57),"Pendente")</f>
        <v/>
      </c>
      <c r="D58" s="70" t="n"/>
      <c r="E58" s="70" t="n"/>
      <c r="F58" s="70" t="n"/>
      <c r="G58" s="70" t="n"/>
      <c r="H58" s="70" t="n"/>
      <c r="I58" s="70" t="n"/>
      <c r="J58" s="70" t="n"/>
      <c r="K58" s="70" t="n"/>
      <c r="L58" s="70" t="n"/>
      <c r="M58" s="70" t="n"/>
    </row>
    <row r="59" ht="15.75" customHeight="1" s="61"/>
    <row r="60" ht="15.75" customHeight="1" s="61">
      <c r="B60" s="87" t="inlineStr">
        <is>
          <t>OUTRAS CATEGORIAS E PENDÊNCIAS</t>
        </is>
      </c>
      <c r="C60" s="88" t="n"/>
      <c r="D60" s="70" t="n"/>
      <c r="E60" s="88" t="n"/>
      <c r="F60" s="89" t="n"/>
      <c r="G60" s="89" t="n"/>
      <c r="H60" s="70" t="n"/>
      <c r="I60" s="88" t="n"/>
      <c r="J60" s="89" t="n"/>
      <c r="K60" s="89" t="n"/>
      <c r="L60" s="70" t="n"/>
      <c r="M60" s="89" t="n"/>
    </row>
    <row r="61" ht="15.75" customHeight="1" s="61">
      <c r="B61" s="121" t="n"/>
      <c r="C61" s="121" t="n"/>
      <c r="D61" s="70" t="n"/>
      <c r="E61" s="84" t="inlineStr">
        <is>
          <t>Distribuído</t>
        </is>
      </c>
      <c r="F61" s="85" t="inlineStr">
        <is>
          <t>Utilizado</t>
        </is>
      </c>
      <c r="G61" s="85" t="inlineStr">
        <is>
          <t>Saldo</t>
        </is>
      </c>
      <c r="H61" s="86" t="n"/>
      <c r="I61" s="84" t="inlineStr">
        <is>
          <t>Distribuído</t>
        </is>
      </c>
      <c r="J61" s="85" t="inlineStr">
        <is>
          <t>Utilizado</t>
        </is>
      </c>
      <c r="K61" s="85" t="inlineStr">
        <is>
          <t>Saldo</t>
        </is>
      </c>
      <c r="L61" s="80" t="n"/>
      <c r="M61" s="121" t="n"/>
    </row>
    <row r="62" ht="15.75" customHeight="1" s="61">
      <c r="B62" s="87" t="n"/>
      <c r="C62" s="88" t="n"/>
      <c r="D62" s="70" t="n"/>
      <c r="E62" s="88" t="n"/>
      <c r="F62" s="89" t="n"/>
      <c r="G62" s="89" t="n"/>
      <c r="H62" s="70" t="n"/>
      <c r="I62" s="88" t="n"/>
      <c r="J62" s="89" t="n"/>
      <c r="K62" s="89" t="n"/>
      <c r="L62" s="70" t="n"/>
      <c r="M62" s="89" t="n"/>
    </row>
    <row r="63" ht="15.75" customHeight="1" s="61">
      <c r="B63" s="87" t="inlineStr">
        <is>
          <t>Afastamento no país</t>
        </is>
      </c>
      <c r="C63" s="88">
        <f>IF(AND(ISNUMBER(E63),ISNUMBER(I63)),E63+I63,"Pendente")</f>
        <v/>
      </c>
      <c r="D63" s="70" t="n"/>
      <c r="E63" s="88">
        <f>IF(SUMPRODUCT((--(ApoioA&lt;&gt;"")*--(((ApoioA=(IFERROR(INDEX(ApoioA,MATCH($B63,ApoioB,0)),IF(COUNTIF(ApoioA,$B63)&gt;0,$B63,IF($B63="RESOLUÇÃO 049/2022-CONSUNI/CPPGEC","CAPPG - Res 49",IF($B63="OUTROS","DIREÇÃO",""))))))+((IFERROR(INDEX(ApoioA,MATCH($B63,ApoioB,0)),IF(COUNTIF(ApoioA,$B63)&gt;0,$B63,IF($B63="RESOLUÇÃO 049/2022-CONSUNI/CPPGEC","CAPPG - Res 49",IF($B63="OUTROS","DIREÇÃO","")))))="DIREÇÃO")*(LEFT(ApoioA,9)="DIREÇÃO -"))&gt;0))+(--(ApoioA="PPGEL +")*(((IFERROR(INDEX(ApoioA,MATCH($B63,ApoioB,0)),IF(COUNTIF(ApoioA,$B63)&gt;0,$B63,IF($B63="RESOLUÇÃO 049/2022-CONSUNI/CPPGEC","CAPPG - Res 49",IF($B63="OUTROS","DIREÇÃO","")))))="PPGE")*ApoioJ+((IFERROR(INDEX(ApoioA,MATCH($B63,ApoioB,0)),IF(COUNTIF(ApoioA,$B63)&gt;0,$B63,IF($B63="RESOLUÇÃO 049/2022-CONSUNI/CPPGEC","CAPPG - Res 49",IF($B63="OUTROS","DIREÇÃO","")))))="PPGEL")*ApoioK+((IFERROR(INDEX(ApoioA,MATCH($B63,ApoioB,0)),IF(COUNTIF(ApoioA,$B63)&gt;0,$B63,IF($B63="RESOLUÇÃO 049/2022-CONSUNI/CPPGEC","CAPPG - Res 49",IF($B63="OUTROS","DIREÇÃO","")))))="PPGH/PPGDH")*ApoioL)),--ISNUMBER(ApoioD))=0,"Pendente",SUMPRODUCT((--(ApoioA&lt;&gt;"")*--(((ApoioA=(IFERROR(INDEX(ApoioA,MATCH($B63,ApoioB,0)),IF(COUNTIF(ApoioA,$B63)&gt;0,$B63,IF($B63="RESOLUÇÃO 049/2022-CONSUNI/CPPGEC","CAPPG - Res 49",IF($B63="OUTROS","DIREÇÃO",""))))))+((IFERROR(INDEX(ApoioA,MATCH($B63,ApoioB,0)),IF(COUNTIF(ApoioA,$B63)&gt;0,$B63,IF($B63="RESOLUÇÃO 049/2022-CONSUNI/CPPGEC","CAPPG - Res 49",IF($B63="OUTROS","DIREÇÃO","")))))="DIREÇÃO")*(LEFT(ApoioA,9)="DIREÇÃO -"))&gt;0))+(--(ApoioA="PPGEL +")*(((IFERROR(INDEX(ApoioA,MATCH($B63,ApoioB,0)),IF(COUNTIF(ApoioA,$B63)&gt;0,$B63,IF($B63="RESOLUÇÃO 049/2022-CONSUNI/CPPGEC","CAPPG - Res 49",IF($B63="OUTROS","DIREÇÃO","")))))="PPGE")*ApoioJ+((IFERROR(INDEX(ApoioA,MATCH($B63,ApoioB,0)),IF(COUNTIF(ApoioA,$B63)&gt;0,$B63,IF($B63="RESOLUÇÃO 049/2022-CONSUNI/CPPGEC","CAPPG - Res 49",IF($B63="OUTROS","DIREÇÃO","")))))="PPGEL")*ApoioK+((IFERROR(INDEX(ApoioA,MATCH($B63,ApoioB,0)),IF(COUNTIF(ApoioA,$B63)&gt;0,$B63,IF($B63="RESOLUÇÃO 049/2022-CONSUNI/CPPGEC","CAPPG - Res 49",IF($B63="OUTROS","DIREÇÃO","")))))="PPGH/PPGDH")*ApoioL)),ApoioD))</f>
        <v/>
      </c>
      <c r="F63" s="89">
        <f>IF(SUMPRODUCT((--(ApoioA&lt;&gt;"")*--(((ApoioA=(IFERROR(INDEX(ApoioA,MATCH($B63,ApoioB,0)),IF(COUNTIF(ApoioA,$B63)&gt;0,$B63,IF($B63="RESOLUÇÃO 049/2022-CONSUNI/CPPGEC","CAPPG - Res 49",IF($B63="OUTROS","DIREÇÃO",""))))))+((IFERROR(INDEX(ApoioA,MATCH($B63,ApoioB,0)),IF(COUNTIF(ApoioA,$B63)&gt;0,$B63,IF($B63="RESOLUÇÃO 049/2022-CONSUNI/CPPGEC","CAPPG - Res 49",IF($B63="OUTROS","DIREÇÃO","")))))="DIREÇÃO")*(LEFT(ApoioA,9)="DIREÇÃO -"))&gt;0))+(--(ApoioA="PPGEL +")*(((IFERROR(INDEX(ApoioA,MATCH($B63,ApoioB,0)),IF(COUNTIF(ApoioA,$B63)&gt;0,$B63,IF($B63="RESOLUÇÃO 049/2022-CONSUNI/CPPGEC","CAPPG - Res 49",IF($B63="OUTROS","DIREÇÃO","")))))="PPGE")*ApoioJ+((IFERROR(INDEX(ApoioA,MATCH($B63,ApoioB,0)),IF(COUNTIF(ApoioA,$B63)&gt;0,$B63,IF($B63="RESOLUÇÃO 049/2022-CONSUNI/CPPGEC","CAPPG - Res 49",IF($B63="OUTROS","DIREÇÃO","")))))="PPGEL")*ApoioK+((IFERROR(INDEX(ApoioA,MATCH($B63,ApoioB,0)),IF(COUNTIF(ApoioA,$B63)&gt;0,$B63,IF($B63="RESOLUÇÃO 049/2022-CONSUNI/CPPGEC","CAPPG - Res 49",IF($B63="OUTROS","DIREÇÃO","")))))="PPGH/PPGDH")*ApoioL)),COUNTIFS(ViagensM,ApoioA,ViagensC,"Cancelada",ViagensN,""))&gt;0,"Pendente",SUMPRODUCT((--(ApoioA&lt;&gt;"")*--(((ApoioA=(IFERROR(INDEX(ApoioA,MATCH($B63,ApoioB,0)),IF(COUNTIF(ApoioA,$B63)&gt;0,$B63,IF($B63="RESOLUÇÃO 049/2022-CONSUNI/CPPGEC","CAPPG - Res 49",IF($B63="OUTROS","DIREÇÃO",""))))))+((IFERROR(INDEX(ApoioA,MATCH($B63,ApoioB,0)),IF(COUNTIF(ApoioA,$B63)&gt;0,$B63,IF($B63="RESOLUÇÃO 049/2022-CONSUNI/CPPGEC","CAPPG - Res 49",IF($B63="OUTROS","DIREÇÃO","")))))="DIREÇÃO")*(LEFT(ApoioA,9)="DIREÇÃO -"))&gt;0))+(--(ApoioA="PPGEL +")*(((IFERROR(INDEX(ApoioA,MATCH($B63,ApoioB,0)),IF(COUNTIF(ApoioA,$B63)&gt;0,$B63,IF($B63="RESOLUÇÃO 049/2022-CONSUNI/CPPGEC","CAPPG - Res 49",IF($B63="OUTROS","DIREÇÃO","")))))="PPGE")*ApoioJ+((IFERROR(INDEX(ApoioA,MATCH($B63,ApoioB,0)),IF(COUNTIF(ApoioA,$B63)&gt;0,$B63,IF($B63="RESOLUÇÃO 049/2022-CONSUNI/CPPGEC","CAPPG - Res 49",IF($B63="OUTROS","DIREÇÃO","")))))="PPGEL")*ApoioK+((IFERROR(INDEX(ApoioA,MATCH($B63,ApoioB,0)),IF(COUNTIF(ApoioA,$B63)&gt;0,$B63,IF($B63="RESOLUÇÃO 049/2022-CONSUNI/CPPGEC","CAPPG - Res 49",IF($B63="OUTROS","DIREÇÃO","")))))="PPGH/PPGDH")*ApoioL)),(SUMIFS(ViagensK,ViagensM,ApoioA,ViagensC,"&lt;&gt;Cancelada")+SUMIFS(ViagensK,ViagensM,ApoioA,ViagensC,"Cancelada",ViagensN,"Sim"))))</f>
        <v/>
      </c>
      <c r="G63" s="89">
        <f>IF(AND(ISNUMBER(E63),ISNUMBER(F63)),E63-F63,"Pendente")</f>
        <v/>
      </c>
      <c r="H63" s="70" t="n"/>
      <c r="I63" s="88">
        <f>IF(SUMPRODUCT((--(ApoioA&lt;&gt;"")*--(((ApoioA=(IFERROR(INDEX(ApoioA,MATCH($B63,ApoioB,0)),IF(COUNTIF(ApoioA,$B63)&gt;0,$B63,IF($B63="RESOLUÇÃO 049/2022-CONSUNI/CPPGEC","CAPPG - Res 49",IF($B63="OUTROS","DIREÇÃO",""))))))+((IFERROR(INDEX(ApoioA,MATCH($B63,ApoioB,0)),IF(COUNTIF(ApoioA,$B63)&gt;0,$B63,IF($B63="RESOLUÇÃO 049/2022-CONSUNI/CPPGEC","CAPPG - Res 49",IF($B63="OUTROS","DIREÇÃO","")))))="DIREÇÃO")*(LEFT(ApoioA,9)="DIREÇÃO -"))&gt;0))+(--(ApoioA="PPGEL +")*(((IFERROR(INDEX(ApoioA,MATCH($B63,ApoioB,0)),IF(COUNTIF(ApoioA,$B63)&gt;0,$B63,IF($B63="RESOLUÇÃO 049/2022-CONSUNI/CPPGEC","CAPPG - Res 49",IF($B63="OUTROS","DIREÇÃO","")))))="PPGE")*ApoioJ+((IFERROR(INDEX(ApoioA,MATCH($B63,ApoioB,0)),IF(COUNTIF(ApoioA,$B63)&gt;0,$B63,IF($B63="RESOLUÇÃO 049/2022-CONSUNI/CPPGEC","CAPPG - Res 49",IF($B63="OUTROS","DIREÇÃO","")))))="PPGEL")*ApoioK+((IFERROR(INDEX(ApoioA,MATCH($B63,ApoioB,0)),IF(COUNTIF(ApoioA,$B63)&gt;0,$B63,IF($B63="RESOLUÇÃO 049/2022-CONSUNI/CPPGEC","CAPPG - Res 49",IF($B63="OUTROS","DIREÇÃO","")))))="PPGH/PPGDH")*ApoioL)),--ISNUMBER(ApoioE))=0,"Pendente",SUMPRODUCT((--(ApoioA&lt;&gt;"")*--(((ApoioA=(IFERROR(INDEX(ApoioA,MATCH($B63,ApoioB,0)),IF(COUNTIF(ApoioA,$B63)&gt;0,$B63,IF($B63="RESOLUÇÃO 049/2022-CONSUNI/CPPGEC","CAPPG - Res 49",IF($B63="OUTROS","DIREÇÃO",""))))))+((IFERROR(INDEX(ApoioA,MATCH($B63,ApoioB,0)),IF(COUNTIF(ApoioA,$B63)&gt;0,$B63,IF($B63="RESOLUÇÃO 049/2022-CONSUNI/CPPGEC","CAPPG - Res 49",IF($B63="OUTROS","DIREÇÃO","")))))="DIREÇÃO")*(LEFT(ApoioA,9)="DIREÇÃO -"))&gt;0))+(--(ApoioA="PPGEL +")*(((IFERROR(INDEX(ApoioA,MATCH($B63,ApoioB,0)),IF(COUNTIF(ApoioA,$B63)&gt;0,$B63,IF($B63="RESOLUÇÃO 049/2022-CONSUNI/CPPGEC","CAPPG - Res 49",IF($B63="OUTROS","DIREÇÃO","")))))="PPGE")*ApoioJ+((IFERROR(INDEX(ApoioA,MATCH($B63,ApoioB,0)),IF(COUNTIF(ApoioA,$B63)&gt;0,$B63,IF($B63="RESOLUÇÃO 049/2022-CONSUNI/CPPGEC","CAPPG - Res 49",IF($B63="OUTROS","DIREÇÃO","")))))="PPGEL")*ApoioK+((IFERROR(INDEX(ApoioA,MATCH($B63,ApoioB,0)),IF(COUNTIF(ApoioA,$B63)&gt;0,$B63,IF($B63="RESOLUÇÃO 049/2022-CONSUNI/CPPGEC","CAPPG - Res 49",IF($B63="OUTROS","DIREÇÃO","")))))="PPGH/PPGDH")*ApoioL)),ApoioE))</f>
        <v/>
      </c>
      <c r="J63" s="89">
        <f>IF(SUMPRODUCT((--(ApoioA&lt;&gt;"")*--(((ApoioA=(IFERROR(INDEX(ApoioA,MATCH($B63,ApoioB,0)),IF(COUNTIF(ApoioA,$B63)&gt;0,$B63,IF($B63="RESOLUÇÃO 049/2022-CONSUNI/CPPGEC","CAPPG - Res 49",IF($B63="OUTROS","DIREÇÃO",""))))))+((IFERROR(INDEX(ApoioA,MATCH($B63,ApoioB,0)),IF(COUNTIF(ApoioA,$B63)&gt;0,$B63,IF($B63="RESOLUÇÃO 049/2022-CONSUNI/CPPGEC","CAPPG - Res 49",IF($B63="OUTROS","DIREÇÃO","")))))="DIREÇÃO")*(LEFT(ApoioA,9)="DIREÇÃO -"))&gt;0))+(--(ApoioA="PPGEL +")*(((IFERROR(INDEX(ApoioA,MATCH($B63,ApoioB,0)),IF(COUNTIF(ApoioA,$B63)&gt;0,$B63,IF($B63="RESOLUÇÃO 049/2022-CONSUNI/CPPGEC","CAPPG - Res 49",IF($B63="OUTROS","DIREÇÃO","")))))="PPGE")*ApoioJ+((IFERROR(INDEX(ApoioA,MATCH($B63,ApoioB,0)),IF(COUNTIF(ApoioA,$B63)&gt;0,$B63,IF($B63="RESOLUÇÃO 049/2022-CONSUNI/CPPGEC","CAPPG - Res 49",IF($B63="OUTROS","DIREÇÃO","")))))="PPGEL")*ApoioK+((IFERROR(INDEX(ApoioA,MATCH($B63,ApoioB,0)),IF(COUNTIF(ApoioA,$B63)&gt;0,$B63,IF($B63="RESOLUÇÃO 049/2022-CONSUNI/CPPGEC","CAPPG - Res 49",IF($B63="OUTROS","DIREÇÃO","")))))="PPGH/PPGDH")*ApoioL)),--ISNUMBER(ApoioG))=0,"Pendente",SUMPRODUCT((--(ApoioA&lt;&gt;"")*--(((ApoioA=(IFERROR(INDEX(ApoioA,MATCH($B63,ApoioB,0)),IF(COUNTIF(ApoioA,$B63)&gt;0,$B63,IF($B63="RESOLUÇÃO 049/2022-CONSUNI/CPPGEC","CAPPG - Res 49",IF($B63="OUTROS","DIREÇÃO",""))))))+((IFERROR(INDEX(ApoioA,MATCH($B63,ApoioB,0)),IF(COUNTIF(ApoioA,$B63)&gt;0,$B63,IF($B63="RESOLUÇÃO 049/2022-CONSUNI/CPPGEC","CAPPG - Res 49",IF($B63="OUTROS","DIREÇÃO","")))))="DIREÇÃO")*(LEFT(ApoioA,9)="DIREÇÃO -"))&gt;0))+(--(ApoioA="PPGEL +")*(((IFERROR(INDEX(ApoioA,MATCH($B63,ApoioB,0)),IF(COUNTIF(ApoioA,$B63)&gt;0,$B63,IF($B63="RESOLUÇÃO 049/2022-CONSUNI/CPPGEC","CAPPG - Res 49",IF($B63="OUTROS","DIREÇÃO","")))))="PPGE")*ApoioJ+((IFERROR(INDEX(ApoioA,MATCH($B63,ApoioB,0)),IF(COUNTIF(ApoioA,$B63)&gt;0,$B63,IF($B63="RESOLUÇÃO 049/2022-CONSUNI/CPPGEC","CAPPG - Res 49",IF($B63="OUTROS","DIREÇÃO","")))))="PPGEL")*ApoioK+((IFERROR(INDEX(ApoioA,MATCH($B63,ApoioB,0)),IF(COUNTIF(ApoioA,$B63)&gt;0,$B63,IF($B63="RESOLUÇÃO 049/2022-CONSUNI/CPPGEC","CAPPG - Res 49",IF($B63="OUTROS","DIREÇÃO","")))))="PPGH/PPGDH")*ApoioL)),ApoioG))</f>
        <v/>
      </c>
      <c r="K63" s="89">
        <f>IF(AND(ISNUMBER(I63),ISNUMBER(J63)),I63-J63,"Pendente")</f>
        <v/>
      </c>
      <c r="L63" s="70" t="n"/>
      <c r="M63" s="89">
        <f>IF(AND(ISNUMBER(G63),ISNUMBER(K63)),G63+K63,"Pendente")</f>
        <v/>
      </c>
      <c r="O63" s="67" t="inlineStr">
        <is>
          <t>Grupo adicional</t>
        </is>
      </c>
      <c r="P63" s="67">
        <f>B63</f>
        <v/>
      </c>
    </row>
    <row r="64" ht="15.75" customHeight="1" s="61">
      <c r="B64" s="87" t="inlineStr">
        <is>
          <t>Categorias sem linha no resumo</t>
        </is>
      </c>
      <c r="C64" s="88">
        <f>IF(SUMPRODUCT(--(ApoioA&lt;&gt;""),--(ApoioA&lt;&gt;"PPGEL +"),--(LEFT(ApoioA,9)&lt;&gt;"DIREÇÃO -"),--ISNA(MATCH(ApoioA,ResumoB,0)),--ISNA(MATCH(ApoioB,ResumoB,0)),--(ApoioA&lt;&gt;"DIREÇÃO"),--(ApoioA&lt;&gt;"CAPPG - Res 49"))=0,0,"Pendente")</f>
        <v/>
      </c>
      <c r="D64" s="70" t="n"/>
      <c r="E64" s="88">
        <f>IF(SUMPRODUCT(--(ApoioA&lt;&gt;""),--(ApoioA&lt;&gt;"PPGEL +"),--(LEFT(ApoioA,9)&lt;&gt;"DIREÇÃO -"),--ISNA(MATCH(ApoioA,ResumoB,0)),--ISNA(MATCH(ApoioB,ResumoB,0)),--(ApoioA&lt;&gt;"DIREÇÃO"),--(ApoioA&lt;&gt;"CAPPG - Res 49"))=0,0,"Pendente")</f>
        <v/>
      </c>
      <c r="F64" s="89">
        <f>IF(AND(ISNUMBER(F68),ISNUMBER(IF(SUMPRODUCT(--(ApoioA&lt;&gt;"")*--(ApoioA&lt;&gt;"PPGEL +")*--(LEFT(ApoioA,9)&lt;&gt;"DIREÇÃO -"),COUNTIFS(ResumoB,ApoioB,ResumoE,"&lt;&gt;",ResumoF,"Pendente"))+SUMPRODUCT(--(ApoioA&lt;&gt;"")*--(ApoioA&lt;&gt;"PPGEL +")*--(LEFT(ApoioA,9)&lt;&gt;"DIREÇÃO -"),--(ApoioA&lt;&gt;ApoioB),COUNTIFS(ResumoB,ApoioA,ResumoE,"&lt;&gt;",ResumoF,"Pendente"))+IF(COUNTIF(ApoioA,"OUTROS")+COUNTIF(ApoioB,"OUTROS")=0,COUNTIFS(ResumoB,"OUTROS",ResumoF,"Pendente"),0)+IF(COUNTIF(ApoioA,"RESOLUÇÃO 049/2022-CONSUNI/CPPGEC")+COUNTIF(ApoioB,"RESOLUÇÃO 049/2022-CONSUNI/CPPGEC")=0,COUNTIFS(ResumoB,"RESOLUÇÃO 049/2022-CONSUNI/CPPGEC",ResumoF,"Pendente"),0)&gt;0,"Pendente",SUMPRODUCT(--(ApoioA&lt;&gt;"")*--(ApoioA&lt;&gt;"PPGEL +")*--(LEFT(ApoioA,9)&lt;&gt;"DIREÇÃO -"),SUMIFS(ResumoF,ResumoB,ApoioB,ResumoE,"&lt;&gt;"))+SUMPRODUCT(--(ApoioA&lt;&gt;"")*--(ApoioA&lt;&gt;"PPGEL +")*--(LEFT(ApoioA,9)&lt;&gt;"DIREÇÃO -"),--(ApoioA&lt;&gt;ApoioB),SUMIFS(ResumoF,ResumoB,ApoioA,ResumoE,"&lt;&gt;"))+IF(COUNTIF(ApoioA,"OUTROS")+COUNTIF(ApoioB,"OUTROS")=0,SUMIF(ResumoB,"OUTROS",ResumoF),0)+IF(COUNTIF(ApoioA,"RESOLUÇÃO 049/2022-CONSUNI/CPPGEC")+COUNTIF(ApoioB,"RESOLUÇÃO 049/2022-CONSUNI/CPPGEC")=0,SUMIF(ResumoB,"RESOLUÇÃO 049/2022-CONSUNI/CPPGEC",ResumoF),0))),ISNUMBER(F66)),F68-(IF(SUMPRODUCT(--(ApoioA&lt;&gt;"")*--(ApoioA&lt;&gt;"PPGEL +")*--(LEFT(ApoioA,9)&lt;&gt;"DIREÇÃO -"),COUNTIFS(ResumoB,ApoioB,ResumoE,"&lt;&gt;",ResumoF,"Pendente"))+SUMPRODUCT(--(ApoioA&lt;&gt;"")*--(ApoioA&lt;&gt;"PPGEL +")*--(LEFT(ApoioA,9)&lt;&gt;"DIREÇÃO -"),--(ApoioA&lt;&gt;ApoioB),COUNTIFS(ResumoB,ApoioA,ResumoE,"&lt;&gt;",ResumoF,"Pendente"))+IF(COUNTIF(ApoioA,"OUTROS")+COUNTIF(ApoioB,"OUTROS")=0,COUNTIFS(ResumoB,"OUTROS",ResumoF,"Pendente"),0)+IF(COUNTIF(ApoioA,"RESOLUÇÃO 049/2022-CONSUNI/CPPGEC")+COUNTIF(ApoioB,"RESOLUÇÃO 049/2022-CONSUNI/CPPGEC")=0,COUNTIFS(ResumoB,"RESOLUÇÃO 049/2022-CONSUNI/CPPGEC",ResumoF,"Pendente"),0)&gt;0,"Pendente",SUMPRODUCT(--(ApoioA&lt;&gt;"")*--(ApoioA&lt;&gt;"PPGEL +")*--(LEFT(ApoioA,9)&lt;&gt;"DIREÇÃO -"),SUMIFS(ResumoF,ResumoB,ApoioB,ResumoE,"&lt;&gt;"))+SUMPRODUCT(--(ApoioA&lt;&gt;"")*--(ApoioA&lt;&gt;"PPGEL +")*--(LEFT(ApoioA,9)&lt;&gt;"DIREÇÃO -"),--(ApoioA&lt;&gt;ApoioB),SUMIFS(ResumoF,ResumoB,ApoioA,ResumoE,"&lt;&gt;"))+IF(COUNTIF(ApoioA,"OUTROS")+COUNTIF(ApoioB,"OUTROS")=0,SUMIF(ResumoB,"OUTROS",ResumoF),0)+IF(COUNTIF(ApoioA,"RESOLUÇÃO 049/2022-CONSUNI/CPPGEC")+COUNTIF(ApoioB,"RESOLUÇÃO 049/2022-CONSUNI/CPPGEC")=0,SUMIF(ResumoB,"RESOLUÇÃO 049/2022-CONSUNI/CPPGEC",ResumoF),0)))-F66,"Pendente")</f>
        <v/>
      </c>
      <c r="G64" s="89">
        <f>IF(SUMPRODUCT(--(ApoioA&lt;&gt;""),--(ApoioA&lt;&gt;"PPGEL +"),--(LEFT(ApoioA,9)&lt;&gt;"DIREÇÃO -"),--ISNA(MATCH(ApoioA,ResumoB,0)),--ISNA(MATCH(ApoioB,ResumoB,0)),--(ApoioA&lt;&gt;"DIREÇÃO"),--(ApoioA&lt;&gt;"CAPPG - Res 49"))=0,0,"Pendente")</f>
        <v/>
      </c>
      <c r="H64" s="70" t="n"/>
      <c r="I64" s="88">
        <f>IF(SUMPRODUCT(--(ApoioA&lt;&gt;""),--(ApoioA&lt;&gt;"PPGEL +"),--(LEFT(ApoioA,9)&lt;&gt;"DIREÇÃO -"),--ISNA(MATCH(ApoioA,ResumoB,0)),--ISNA(MATCH(ApoioB,ResumoB,0)),--(ApoioA&lt;&gt;"DIREÇÃO"),--(ApoioA&lt;&gt;"CAPPG - Res 49"))=0,0,"Pendente")</f>
        <v/>
      </c>
      <c r="J64" s="89">
        <f>IF(SUMPRODUCT(--(ApoioA&lt;&gt;""),--(ApoioA&lt;&gt;"PPGEL +"),--(LEFT(ApoioA,9)&lt;&gt;"DIREÇÃO -"),--ISNA(MATCH(ApoioA,ResumoB,0)),--ISNA(MATCH(ApoioB,ResumoB,0)),--(ApoioA&lt;&gt;"DIREÇÃO"),--(ApoioA&lt;&gt;"CAPPG - Res 49"))=0,0,"Pendente")</f>
        <v/>
      </c>
      <c r="K64" s="89">
        <f>IF(SUMPRODUCT(--(ApoioA&lt;&gt;""),--(ApoioA&lt;&gt;"PPGEL +"),--(LEFT(ApoioA,9)&lt;&gt;"DIREÇÃO -"),--ISNA(MATCH(ApoioA,ResumoB,0)),--ISNA(MATCH(ApoioB,ResumoB,0)),--(ApoioA&lt;&gt;"DIREÇÃO"),--(ApoioA&lt;&gt;"CAPPG - Res 49"))=0,0,"Pendente")</f>
        <v/>
      </c>
      <c r="L64" s="70" t="n"/>
      <c r="M64" s="89">
        <f>IF(SUMPRODUCT(--(ApoioA&lt;&gt;""),--(ApoioA&lt;&gt;"PPGEL +"),--(LEFT(ApoioA,9)&lt;&gt;"DIREÇÃO -"),--ISNA(MATCH(ApoioA,ResumoB,0)),--ISNA(MATCH(ApoioB,ResumoB,0)),--(ApoioA&lt;&gt;"DIREÇÃO"),--(ApoioA&lt;&gt;"CAPPG - Res 49"))=0,0,"Pendente")</f>
        <v/>
      </c>
    </row>
    <row r="65" ht="15.75" customHeight="1" s="61">
      <c r="B65" s="87" t="inlineStr">
        <is>
          <t>PCDPs sem código de débito</t>
        </is>
      </c>
      <c r="C65" s="122">
        <f>COUNTIFS(ViagensM,"",ViagensA,"&lt;&gt;")</f>
        <v/>
      </c>
      <c r="D65" s="70" t="n"/>
      <c r="E65" s="88" t="n"/>
      <c r="F65" s="89" t="n"/>
      <c r="G65" s="89" t="n"/>
      <c r="H65" s="70" t="n"/>
      <c r="I65" s="88" t="n"/>
      <c r="J65" s="89" t="n"/>
      <c r="K65" s="89" t="n"/>
      <c r="L65" s="70" t="n"/>
      <c r="M65" s="89" t="n"/>
    </row>
    <row r="66" ht="15.75" customHeight="1" s="61">
      <c r="B66" s="87" t="inlineStr">
        <is>
          <t>SEM CLASSIFICAÇÃO</t>
        </is>
      </c>
      <c r="C66" s="88">
        <f>IF(C65=0,0,"Pendente")</f>
        <v/>
      </c>
      <c r="D66" s="70" t="n"/>
      <c r="E66" s="88">
        <f>IF(C65=0,0,"Pendente")</f>
        <v/>
      </c>
      <c r="F66" s="89">
        <f>IF(COUNTIFS(ViagensM,"",ViagensC,"Cancelada",ViagensN,"")&gt;0,"Pendente",SUMIFS(ViagensK,ViagensM,"",ViagensC,"&lt;&gt;Cancelada")+SUMIFS(ViagensK,ViagensM,"",ViagensC,"Cancelada",ViagensN,"Sim"))</f>
        <v/>
      </c>
      <c r="G66" s="89">
        <f>IF(C65=0,0,"Pendente")</f>
        <v/>
      </c>
      <c r="H66" s="70" t="n"/>
      <c r="I66" s="88">
        <f>IF(C65=0,0,"Pendente")</f>
        <v/>
      </c>
      <c r="J66" s="89">
        <f>IF(C65=0,0,"Pendente")</f>
        <v/>
      </c>
      <c r="K66" s="89">
        <f>IF(C65=0,0,"Pendente")</f>
        <v/>
      </c>
      <c r="L66" s="70" t="n"/>
      <c r="M66" s="89">
        <f>IF(C65=0,0,"Pendente")</f>
        <v/>
      </c>
    </row>
    <row r="67" ht="15.75" customHeight="1" s="61"/>
    <row r="68" ht="15.75" customHeight="1" s="61">
      <c r="B68" s="115" t="inlineStr">
        <is>
          <t>TOTAL CONSOLIDADO</t>
        </is>
      </c>
      <c r="C68" s="95">
        <f>IF(AND(ISNUMBER(IF(SUMPRODUCT(--(ApoioA&lt;&gt;"")*--(ApoioA&lt;&gt;"PPGEL +")*--(LEFT(ApoioA,9)&lt;&gt;"DIREÇÃO -"),COUNTIFS(ResumoB,ApoioB,ResumoE,"&lt;&gt;",ResumoC,"Pendente"))+SUMPRODUCT(--(ApoioA&lt;&gt;"")*--(ApoioA&lt;&gt;"PPGEL +")*--(LEFT(ApoioA,9)&lt;&gt;"DIREÇÃO -"),--(ApoioA&lt;&gt;ApoioB),COUNTIFS(ResumoB,ApoioA,ResumoE,"&lt;&gt;",ResumoC,"Pendente"))+IF(COUNTIF(ApoioA,"OUTROS")+COUNTIF(ApoioB,"OUTROS")=0,COUNTIFS(ResumoB,"OUTROS",ResumoC,"Pendente"),0)+IF(COUNTIF(ApoioA,"RESOLUÇÃO 049/2022-CONSUNI/CPPGEC")+COUNTIF(ApoioB,"RESOLUÇÃO 049/2022-CONSUNI/CPPGEC")=0,COUNTIFS(ResumoB,"RESOLUÇÃO 049/2022-CONSUNI/CPPGEC",ResumoC,"Pendente"),0)&gt;0,"Pendente",SUMPRODUCT(--(ApoioA&lt;&gt;"")*--(ApoioA&lt;&gt;"PPGEL +")*--(LEFT(ApoioA,9)&lt;&gt;"DIREÇÃO -"),SUMIFS(ResumoC,ResumoB,ApoioB,ResumoE,"&lt;&gt;"))+SUMPRODUCT(--(ApoioA&lt;&gt;"")*--(ApoioA&lt;&gt;"PPGEL +")*--(LEFT(ApoioA,9)&lt;&gt;"DIREÇÃO -"),--(ApoioA&lt;&gt;ApoioB),SUMIFS(ResumoC,ResumoB,ApoioA,ResumoE,"&lt;&gt;"))+IF(COUNTIF(ApoioA,"OUTROS")+COUNTIF(ApoioB,"OUTROS")=0,SUMIF(ResumoB,"OUTROS",ResumoC),0)+IF(COUNTIF(ApoioA,"RESOLUÇÃO 049/2022-CONSUNI/CPPGEC")+COUNTIF(ApoioB,"RESOLUÇÃO 049/2022-CONSUNI/CPPGEC")=0,SUMIF(ResumoB,"RESOLUÇÃO 049/2022-CONSUNI/CPPGEC",ResumoC),0))),ISNUMBER(C64),ISNUMBER(C66)),IF(SUMPRODUCT(--(ApoioA&lt;&gt;"")*--(ApoioA&lt;&gt;"PPGEL +")*--(LEFT(ApoioA,9)&lt;&gt;"DIREÇÃO -"),COUNTIFS(ResumoB,ApoioB,ResumoE,"&lt;&gt;",ResumoC,"Pendente"))+SUMPRODUCT(--(ApoioA&lt;&gt;"")*--(ApoioA&lt;&gt;"PPGEL +")*--(LEFT(ApoioA,9)&lt;&gt;"DIREÇÃO -"),--(ApoioA&lt;&gt;ApoioB),COUNTIFS(ResumoB,ApoioA,ResumoE,"&lt;&gt;",ResumoC,"Pendente"))+IF(COUNTIF(ApoioA,"OUTROS")+COUNTIF(ApoioB,"OUTROS")=0,COUNTIFS(ResumoB,"OUTROS",ResumoC,"Pendente"),0)+IF(COUNTIF(ApoioA,"RESOLUÇÃO 049/2022-CONSUNI/CPPGEC")+COUNTIF(ApoioB,"RESOLUÇÃO 049/2022-CONSUNI/CPPGEC")=0,COUNTIFS(ResumoB,"RESOLUÇÃO 049/2022-CONSUNI/CPPGEC",ResumoC,"Pendente"),0)&gt;0,"Pendente",SUMPRODUCT(--(ApoioA&lt;&gt;"")*--(ApoioA&lt;&gt;"PPGEL +")*--(LEFT(ApoioA,9)&lt;&gt;"DIREÇÃO -"),SUMIFS(ResumoC,ResumoB,ApoioB,ResumoE,"&lt;&gt;"))+SUMPRODUCT(--(ApoioA&lt;&gt;"")*--(ApoioA&lt;&gt;"PPGEL +")*--(LEFT(ApoioA,9)&lt;&gt;"DIREÇÃO -"),--(ApoioA&lt;&gt;ApoioB),SUMIFS(ResumoC,ResumoB,ApoioA,ResumoE,"&lt;&gt;"))+IF(COUNTIF(ApoioA,"OUTROS")+COUNTIF(ApoioB,"OUTROS")=0,SUMIF(ResumoB,"OUTROS",ResumoC),0)+IF(COUNTIF(ApoioA,"RESOLUÇÃO 049/2022-CONSUNI/CPPGEC")+COUNTIF(ApoioB,"RESOLUÇÃO 049/2022-CONSUNI/CPPGEC")=0,SUMIF(ResumoB,"RESOLUÇÃO 049/2022-CONSUNI/CPPGEC",ResumoC),0))+C64+C66,"Pendente")</f>
        <v/>
      </c>
      <c r="D68" s="70" t="n"/>
      <c r="E68" s="95">
        <f>IF(AND(ISNUMBER(IF(SUMPRODUCT(--(ApoioA&lt;&gt;"")*--(ApoioA&lt;&gt;"PPGEL +")*--(LEFT(ApoioA,9)&lt;&gt;"DIREÇÃO -"),COUNTIFS(ResumoB,ApoioB,ResumoE,"&lt;&gt;",ResumoE,"Pendente"))+SUMPRODUCT(--(ApoioA&lt;&gt;"")*--(ApoioA&lt;&gt;"PPGEL +")*--(LEFT(ApoioA,9)&lt;&gt;"DIREÇÃO -"),--(ApoioA&lt;&gt;ApoioB),COUNTIFS(ResumoB,ApoioA,ResumoE,"&lt;&gt;",ResumoE,"Pendente"))+IF(COUNTIF(ApoioA,"OUTROS")+COUNTIF(ApoioB,"OUTROS")=0,COUNTIFS(ResumoB,"OUTROS",ResumoE,"Pendente"),0)+IF(COUNTIF(ApoioA,"RESOLUÇÃO 049/2022-CONSUNI/CPPGEC")+COUNTIF(ApoioB,"RESOLUÇÃO 049/2022-CONSUNI/CPPGEC")=0,COUNTIFS(ResumoB,"RESOLUÇÃO 049/2022-CONSUNI/CPPGEC",ResumoE,"Pendente"),0)&gt;0,"Pendente",SUMPRODUCT(--(ApoioA&lt;&gt;"")*--(ApoioA&lt;&gt;"PPGEL +")*--(LEFT(ApoioA,9)&lt;&gt;"DIREÇÃO -"),SUMIFS(ResumoE,ResumoB,ApoioB,ResumoE,"&lt;&gt;"))+SUMPRODUCT(--(ApoioA&lt;&gt;"")*--(ApoioA&lt;&gt;"PPGEL +")*--(LEFT(ApoioA,9)&lt;&gt;"DIREÇÃO -"),--(ApoioA&lt;&gt;ApoioB),SUMIFS(ResumoE,ResumoB,ApoioA,ResumoE,"&lt;&gt;"))+IF(COUNTIF(ApoioA,"OUTROS")+COUNTIF(ApoioB,"OUTROS")=0,SUMIF(ResumoB,"OUTROS",ResumoE),0)+IF(COUNTIF(ApoioA,"RESOLUÇÃO 049/2022-CONSUNI/CPPGEC")+COUNTIF(ApoioB,"RESOLUÇÃO 049/2022-CONSUNI/CPPGEC")=0,SUMIF(ResumoB,"RESOLUÇÃO 049/2022-CONSUNI/CPPGEC",ResumoE),0))),ISNUMBER(E64),ISNUMBER(E66)),IF(SUMPRODUCT(--(ApoioA&lt;&gt;"")*--(ApoioA&lt;&gt;"PPGEL +")*--(LEFT(ApoioA,9)&lt;&gt;"DIREÇÃO -"),COUNTIFS(ResumoB,ApoioB,ResumoE,"&lt;&gt;",ResumoE,"Pendente"))+SUMPRODUCT(--(ApoioA&lt;&gt;"")*--(ApoioA&lt;&gt;"PPGEL +")*--(LEFT(ApoioA,9)&lt;&gt;"DIREÇÃO -"),--(ApoioA&lt;&gt;ApoioB),COUNTIFS(ResumoB,ApoioA,ResumoE,"&lt;&gt;",ResumoE,"Pendente"))+IF(COUNTIF(ApoioA,"OUTROS")+COUNTIF(ApoioB,"OUTROS")=0,COUNTIFS(ResumoB,"OUTROS",ResumoE,"Pendente"),0)+IF(COUNTIF(ApoioA,"RESOLUÇÃO 049/2022-CONSUNI/CPPGEC")+COUNTIF(ApoioB,"RESOLUÇÃO 049/2022-CONSUNI/CPPGEC")=0,COUNTIFS(ResumoB,"RESOLUÇÃO 049/2022-CONSUNI/CPPGEC",ResumoE,"Pendente"),0)&gt;0,"Pendente",SUMPRODUCT(--(ApoioA&lt;&gt;"")*--(ApoioA&lt;&gt;"PPGEL +")*--(LEFT(ApoioA,9)&lt;&gt;"DIREÇÃO -"),SUMIFS(ResumoE,ResumoB,ApoioB,ResumoE,"&lt;&gt;"))+SUMPRODUCT(--(ApoioA&lt;&gt;"")*--(ApoioA&lt;&gt;"PPGEL +")*--(LEFT(ApoioA,9)&lt;&gt;"DIREÇÃO -"),--(ApoioA&lt;&gt;ApoioB),SUMIFS(ResumoE,ResumoB,ApoioA,ResumoE,"&lt;&gt;"))+IF(COUNTIF(ApoioA,"OUTROS")+COUNTIF(ApoioB,"OUTROS")=0,SUMIF(ResumoB,"OUTROS",ResumoE),0)+IF(COUNTIF(ApoioA,"RESOLUÇÃO 049/2022-CONSUNI/CPPGEC")+COUNTIF(ApoioB,"RESOLUÇÃO 049/2022-CONSUNI/CPPGEC")=0,SUMIF(ResumoB,"RESOLUÇÃO 049/2022-CONSUNI/CPPGEC",ResumoE),0))+E64+E66,"Pendente")</f>
        <v/>
      </c>
      <c r="F68" s="95">
        <f>IF(COUNTIFS(ViagensC,"Cancelada",ViagensN,"",ViagensA,"&lt;&gt;")&gt;0,"Pendente",SUMIFS(ViagensK,ViagensC,"&lt;&gt;Cancelada")+SUMIFS(ViagensK,ViagensC,"Cancelada",ViagensN,"Sim"))</f>
        <v/>
      </c>
      <c r="G68" s="95">
        <f>IF(AND(ISNUMBER(IF(SUMPRODUCT(--(ApoioA&lt;&gt;"")*--(ApoioA&lt;&gt;"PPGEL +")*--(LEFT(ApoioA,9)&lt;&gt;"DIREÇÃO -"),COUNTIFS(ResumoB,ApoioB,ResumoE,"&lt;&gt;",ResumoG,"Pendente"))+SUMPRODUCT(--(ApoioA&lt;&gt;"")*--(ApoioA&lt;&gt;"PPGEL +")*--(LEFT(ApoioA,9)&lt;&gt;"DIREÇÃO -"),--(ApoioA&lt;&gt;ApoioB),COUNTIFS(ResumoB,ApoioA,ResumoE,"&lt;&gt;",ResumoG,"Pendente"))+IF(COUNTIF(ApoioA,"OUTROS")+COUNTIF(ApoioB,"OUTROS")=0,COUNTIFS(ResumoB,"OUTROS",ResumoG,"Pendente"),0)+IF(COUNTIF(ApoioA,"RESOLUÇÃO 049/2022-CONSUNI/CPPGEC")+COUNTIF(ApoioB,"RESOLUÇÃO 049/2022-CONSUNI/CPPGEC")=0,COUNTIFS(ResumoB,"RESOLUÇÃO 049/2022-CONSUNI/CPPGEC",ResumoG,"Pendente"),0)&gt;0,"Pendente",SUMPRODUCT(--(ApoioA&lt;&gt;"")*--(ApoioA&lt;&gt;"PPGEL +")*--(LEFT(ApoioA,9)&lt;&gt;"DIREÇÃO -"),SUMIFS(ResumoG,ResumoB,ApoioB,ResumoE,"&lt;&gt;"))+SUMPRODUCT(--(ApoioA&lt;&gt;"")*--(ApoioA&lt;&gt;"PPGEL +")*--(LEFT(ApoioA,9)&lt;&gt;"DIREÇÃO -"),--(ApoioA&lt;&gt;ApoioB),SUMIFS(ResumoG,ResumoB,ApoioA,ResumoE,"&lt;&gt;"))+IF(COUNTIF(ApoioA,"OUTROS")+COUNTIF(ApoioB,"OUTROS")=0,SUMIF(ResumoB,"OUTROS",ResumoG),0)+IF(COUNTIF(ApoioA,"RESOLUÇÃO 049/2022-CONSUNI/CPPGEC")+COUNTIF(ApoioB,"RESOLUÇÃO 049/2022-CONSUNI/CPPGEC")=0,SUMIF(ResumoB,"RESOLUÇÃO 049/2022-CONSUNI/CPPGEC",ResumoG),0))),ISNUMBER(G64),ISNUMBER(G66)),IF(SUMPRODUCT(--(ApoioA&lt;&gt;"")*--(ApoioA&lt;&gt;"PPGEL +")*--(LEFT(ApoioA,9)&lt;&gt;"DIREÇÃO -"),COUNTIFS(ResumoB,ApoioB,ResumoE,"&lt;&gt;",ResumoG,"Pendente"))+SUMPRODUCT(--(ApoioA&lt;&gt;"")*--(ApoioA&lt;&gt;"PPGEL +")*--(LEFT(ApoioA,9)&lt;&gt;"DIREÇÃO -"),--(ApoioA&lt;&gt;ApoioB),COUNTIFS(ResumoB,ApoioA,ResumoE,"&lt;&gt;",ResumoG,"Pendente"))+IF(COUNTIF(ApoioA,"OUTROS")+COUNTIF(ApoioB,"OUTROS")=0,COUNTIFS(ResumoB,"OUTROS",ResumoG,"Pendente"),0)+IF(COUNTIF(ApoioA,"RESOLUÇÃO 049/2022-CONSUNI/CPPGEC")+COUNTIF(ApoioB,"RESOLUÇÃO 049/2022-CONSUNI/CPPGEC")=0,COUNTIFS(ResumoB,"RESOLUÇÃO 049/2022-CONSUNI/CPPGEC",ResumoG,"Pendente"),0)&gt;0,"Pendente",SUMPRODUCT(--(ApoioA&lt;&gt;"")*--(ApoioA&lt;&gt;"PPGEL +")*--(LEFT(ApoioA,9)&lt;&gt;"DIREÇÃO -"),SUMIFS(ResumoG,ResumoB,ApoioB,ResumoE,"&lt;&gt;"))+SUMPRODUCT(--(ApoioA&lt;&gt;"")*--(ApoioA&lt;&gt;"PPGEL +")*--(LEFT(ApoioA,9)&lt;&gt;"DIREÇÃO -"),--(ApoioA&lt;&gt;ApoioB),SUMIFS(ResumoG,ResumoB,ApoioA,ResumoE,"&lt;&gt;"))+IF(COUNTIF(ApoioA,"OUTROS")+COUNTIF(ApoioB,"OUTROS")=0,SUMIF(ResumoB,"OUTROS",ResumoG),0)+IF(COUNTIF(ApoioA,"RESOLUÇÃO 049/2022-CONSUNI/CPPGEC")+COUNTIF(ApoioB,"RESOLUÇÃO 049/2022-CONSUNI/CPPGEC")=0,SUMIF(ResumoB,"RESOLUÇÃO 049/2022-CONSUNI/CPPGEC",ResumoG),0))+G64+G66,"Pendente")</f>
        <v/>
      </c>
      <c r="H68" s="70" t="n"/>
      <c r="I68" s="95">
        <f>IF(AND(ISNUMBER(IF(SUMPRODUCT(--(ApoioA&lt;&gt;"")*--(ApoioA&lt;&gt;"PPGEL +")*--(LEFT(ApoioA,9)&lt;&gt;"DIREÇÃO -"),COUNTIFS(ResumoB,ApoioB,ResumoE,"&lt;&gt;",ResumoI,"Pendente"))+SUMPRODUCT(--(ApoioA&lt;&gt;"")*--(ApoioA&lt;&gt;"PPGEL +")*--(LEFT(ApoioA,9)&lt;&gt;"DIREÇÃO -"),--(ApoioA&lt;&gt;ApoioB),COUNTIFS(ResumoB,ApoioA,ResumoE,"&lt;&gt;",ResumoI,"Pendente"))+IF(COUNTIF(ApoioA,"OUTROS")+COUNTIF(ApoioB,"OUTROS")=0,COUNTIFS(ResumoB,"OUTROS",ResumoI,"Pendente"),0)+IF(COUNTIF(ApoioA,"RESOLUÇÃO 049/2022-CONSUNI/CPPGEC")+COUNTIF(ApoioB,"RESOLUÇÃO 049/2022-CONSUNI/CPPGEC")=0,COUNTIFS(ResumoB,"RESOLUÇÃO 049/2022-CONSUNI/CPPGEC",ResumoI,"Pendente"),0)&gt;0,"Pendente",SUMPRODUCT(--(ApoioA&lt;&gt;"")*--(ApoioA&lt;&gt;"PPGEL +")*--(LEFT(ApoioA,9)&lt;&gt;"DIREÇÃO -"),SUMIFS(ResumoI,ResumoB,ApoioB,ResumoE,"&lt;&gt;"))+SUMPRODUCT(--(ApoioA&lt;&gt;"")*--(ApoioA&lt;&gt;"PPGEL +")*--(LEFT(ApoioA,9)&lt;&gt;"DIREÇÃO -"),--(ApoioA&lt;&gt;ApoioB),SUMIFS(ResumoI,ResumoB,ApoioA,ResumoE,"&lt;&gt;"))+IF(COUNTIF(ApoioA,"OUTROS")+COUNTIF(ApoioB,"OUTROS")=0,SUMIF(ResumoB,"OUTROS",ResumoI),0)+IF(COUNTIF(ApoioA,"RESOLUÇÃO 049/2022-CONSUNI/CPPGEC")+COUNTIF(ApoioB,"RESOLUÇÃO 049/2022-CONSUNI/CPPGEC")=0,SUMIF(ResumoB,"RESOLUÇÃO 049/2022-CONSUNI/CPPGEC",ResumoI),0))),ISNUMBER(I64),ISNUMBER(I66)),IF(SUMPRODUCT(--(ApoioA&lt;&gt;"")*--(ApoioA&lt;&gt;"PPGEL +")*--(LEFT(ApoioA,9)&lt;&gt;"DIREÇÃO -"),COUNTIFS(ResumoB,ApoioB,ResumoE,"&lt;&gt;",ResumoI,"Pendente"))+SUMPRODUCT(--(ApoioA&lt;&gt;"")*--(ApoioA&lt;&gt;"PPGEL +")*--(LEFT(ApoioA,9)&lt;&gt;"DIREÇÃO -"),--(ApoioA&lt;&gt;ApoioB),COUNTIFS(ResumoB,ApoioA,ResumoE,"&lt;&gt;",ResumoI,"Pendente"))+IF(COUNTIF(ApoioA,"OUTROS")+COUNTIF(ApoioB,"OUTROS")=0,COUNTIFS(ResumoB,"OUTROS",ResumoI,"Pendente"),0)+IF(COUNTIF(ApoioA,"RESOLUÇÃO 049/2022-CONSUNI/CPPGEC")+COUNTIF(ApoioB,"RESOLUÇÃO 049/2022-CONSUNI/CPPGEC")=0,COUNTIFS(ResumoB,"RESOLUÇÃO 049/2022-CONSUNI/CPPGEC",ResumoI,"Pendente"),0)&gt;0,"Pendente",SUMPRODUCT(--(ApoioA&lt;&gt;"")*--(ApoioA&lt;&gt;"PPGEL +")*--(LEFT(ApoioA,9)&lt;&gt;"DIREÇÃO -"),SUMIFS(ResumoI,ResumoB,ApoioB,ResumoE,"&lt;&gt;"))+SUMPRODUCT(--(ApoioA&lt;&gt;"")*--(ApoioA&lt;&gt;"PPGEL +")*--(LEFT(ApoioA,9)&lt;&gt;"DIREÇÃO -"),--(ApoioA&lt;&gt;ApoioB),SUMIFS(ResumoI,ResumoB,ApoioA,ResumoE,"&lt;&gt;"))+IF(COUNTIF(ApoioA,"OUTROS")+COUNTIF(ApoioB,"OUTROS")=0,SUMIF(ResumoB,"OUTROS",ResumoI),0)+IF(COUNTIF(ApoioA,"RESOLUÇÃO 049/2022-CONSUNI/CPPGEC")+COUNTIF(ApoioB,"RESOLUÇÃO 049/2022-CONSUNI/CPPGEC")=0,SUMIF(ResumoB,"RESOLUÇÃO 049/2022-CONSUNI/CPPGEC",ResumoI),0))+I64+I66,"Pendente")</f>
        <v/>
      </c>
      <c r="J68" s="95">
        <f>IF(AND(ISNUMBER(IF(SUMPRODUCT(--(ApoioA&lt;&gt;"")*--(ApoioA&lt;&gt;"PPGEL +")*--(LEFT(ApoioA,9)&lt;&gt;"DIREÇÃO -"),COUNTIFS(ResumoB,ApoioB,ResumoE,"&lt;&gt;",ResumoJ,"Pendente"))+SUMPRODUCT(--(ApoioA&lt;&gt;"")*--(ApoioA&lt;&gt;"PPGEL +")*--(LEFT(ApoioA,9)&lt;&gt;"DIREÇÃO -"),--(ApoioA&lt;&gt;ApoioB),COUNTIFS(ResumoB,ApoioA,ResumoE,"&lt;&gt;",ResumoJ,"Pendente"))+IF(COUNTIF(ApoioA,"OUTROS")+COUNTIF(ApoioB,"OUTROS")=0,COUNTIFS(ResumoB,"OUTROS",ResumoJ,"Pendente"),0)+IF(COUNTIF(ApoioA,"RESOLUÇÃO 049/2022-CONSUNI/CPPGEC")+COUNTIF(ApoioB,"RESOLUÇÃO 049/2022-CONSUNI/CPPGEC")=0,COUNTIFS(ResumoB,"RESOLUÇÃO 049/2022-CONSUNI/CPPGEC",ResumoJ,"Pendente"),0)&gt;0,"Pendente",SUMPRODUCT(--(ApoioA&lt;&gt;"")*--(ApoioA&lt;&gt;"PPGEL +")*--(LEFT(ApoioA,9)&lt;&gt;"DIREÇÃO -"),SUMIFS(ResumoJ,ResumoB,ApoioB,ResumoE,"&lt;&gt;"))+SUMPRODUCT(--(ApoioA&lt;&gt;"")*--(ApoioA&lt;&gt;"PPGEL +")*--(LEFT(ApoioA,9)&lt;&gt;"DIREÇÃO -"),--(ApoioA&lt;&gt;ApoioB),SUMIFS(ResumoJ,ResumoB,ApoioA,ResumoE,"&lt;&gt;"))+IF(COUNTIF(ApoioA,"OUTROS")+COUNTIF(ApoioB,"OUTROS")=0,SUMIF(ResumoB,"OUTROS",ResumoJ),0)+IF(COUNTIF(ApoioA,"RESOLUÇÃO 049/2022-CONSUNI/CPPGEC")+COUNTIF(ApoioB,"RESOLUÇÃO 049/2022-CONSUNI/CPPGEC")=0,SUMIF(ResumoB,"RESOLUÇÃO 049/2022-CONSUNI/CPPGEC",ResumoJ),0))),ISNUMBER(J64),ISNUMBER(J66)),IF(SUMPRODUCT(--(ApoioA&lt;&gt;"")*--(ApoioA&lt;&gt;"PPGEL +")*--(LEFT(ApoioA,9)&lt;&gt;"DIREÇÃO -"),COUNTIFS(ResumoB,ApoioB,ResumoE,"&lt;&gt;",ResumoJ,"Pendente"))+SUMPRODUCT(--(ApoioA&lt;&gt;"")*--(ApoioA&lt;&gt;"PPGEL +")*--(LEFT(ApoioA,9)&lt;&gt;"DIREÇÃO -"),--(ApoioA&lt;&gt;ApoioB),COUNTIFS(ResumoB,ApoioA,ResumoE,"&lt;&gt;",ResumoJ,"Pendente"))+IF(COUNTIF(ApoioA,"OUTROS")+COUNTIF(ApoioB,"OUTROS")=0,COUNTIFS(ResumoB,"OUTROS",ResumoJ,"Pendente"),0)+IF(COUNTIF(ApoioA,"RESOLUÇÃO 049/2022-CONSUNI/CPPGEC")+COUNTIF(ApoioB,"RESOLUÇÃO 049/2022-CONSUNI/CPPGEC")=0,COUNTIFS(ResumoB,"RESOLUÇÃO 049/2022-CONSUNI/CPPGEC",ResumoJ,"Pendente"),0)&gt;0,"Pendente",SUMPRODUCT(--(ApoioA&lt;&gt;"")*--(ApoioA&lt;&gt;"PPGEL +")*--(LEFT(ApoioA,9)&lt;&gt;"DIREÇÃO -"),SUMIFS(ResumoJ,ResumoB,ApoioB,ResumoE,"&lt;&gt;"))+SUMPRODUCT(--(ApoioA&lt;&gt;"")*--(ApoioA&lt;&gt;"PPGEL +")*--(LEFT(ApoioA,9)&lt;&gt;"DIREÇÃO -"),--(ApoioA&lt;&gt;ApoioB),SUMIFS(ResumoJ,ResumoB,ApoioA,ResumoE,"&lt;&gt;"))+IF(COUNTIF(ApoioA,"OUTROS")+COUNTIF(ApoioB,"OUTROS")=0,SUMIF(ResumoB,"OUTROS",ResumoJ),0)+IF(COUNTIF(ApoioA,"RESOLUÇÃO 049/2022-CONSUNI/CPPGEC")+COUNTIF(ApoioB,"RESOLUÇÃO 049/2022-CONSUNI/CPPGEC")=0,SUMIF(ResumoB,"RESOLUÇÃO 049/2022-CONSUNI/CPPGEC",ResumoJ),0))+J64+J66,"Pendente")</f>
        <v/>
      </c>
      <c r="K68" s="95">
        <f>IF(AND(ISNUMBER(IF(SUMPRODUCT(--(ApoioA&lt;&gt;"")*--(ApoioA&lt;&gt;"PPGEL +")*--(LEFT(ApoioA,9)&lt;&gt;"DIREÇÃO -"),COUNTIFS(ResumoB,ApoioB,ResumoE,"&lt;&gt;",ResumoK,"Pendente"))+SUMPRODUCT(--(ApoioA&lt;&gt;"")*--(ApoioA&lt;&gt;"PPGEL +")*--(LEFT(ApoioA,9)&lt;&gt;"DIREÇÃO -"),--(ApoioA&lt;&gt;ApoioB),COUNTIFS(ResumoB,ApoioA,ResumoE,"&lt;&gt;",ResumoK,"Pendente"))+IF(COUNTIF(ApoioA,"OUTROS")+COUNTIF(ApoioB,"OUTROS")=0,COUNTIFS(ResumoB,"OUTROS",ResumoK,"Pendente"),0)+IF(COUNTIF(ApoioA,"RESOLUÇÃO 049/2022-CONSUNI/CPPGEC")+COUNTIF(ApoioB,"RESOLUÇÃO 049/2022-CONSUNI/CPPGEC")=0,COUNTIFS(ResumoB,"RESOLUÇÃO 049/2022-CONSUNI/CPPGEC",ResumoK,"Pendente"),0)&gt;0,"Pendente",SUMPRODUCT(--(ApoioA&lt;&gt;"")*--(ApoioA&lt;&gt;"PPGEL +")*--(LEFT(ApoioA,9)&lt;&gt;"DIREÇÃO -"),SUMIFS(ResumoK,ResumoB,ApoioB,ResumoE,"&lt;&gt;"))+SUMPRODUCT(--(ApoioA&lt;&gt;"")*--(ApoioA&lt;&gt;"PPGEL +")*--(LEFT(ApoioA,9)&lt;&gt;"DIREÇÃO -"),--(ApoioA&lt;&gt;ApoioB),SUMIFS(ResumoK,ResumoB,ApoioA,ResumoE,"&lt;&gt;"))+IF(COUNTIF(ApoioA,"OUTROS")+COUNTIF(ApoioB,"OUTROS")=0,SUMIF(ResumoB,"OUTROS",ResumoK),0)+IF(COUNTIF(ApoioA,"RESOLUÇÃO 049/2022-CONSUNI/CPPGEC")+COUNTIF(ApoioB,"RESOLUÇÃO 049/2022-CONSUNI/CPPGEC")=0,SUMIF(ResumoB,"RESOLUÇÃO 049/2022-CONSUNI/CPPGEC",ResumoK),0))),ISNUMBER(K64),ISNUMBER(K66)),IF(SUMPRODUCT(--(ApoioA&lt;&gt;"")*--(ApoioA&lt;&gt;"PPGEL +")*--(LEFT(ApoioA,9)&lt;&gt;"DIREÇÃO -"),COUNTIFS(ResumoB,ApoioB,ResumoE,"&lt;&gt;",ResumoK,"Pendente"))+SUMPRODUCT(--(ApoioA&lt;&gt;"")*--(ApoioA&lt;&gt;"PPGEL +")*--(LEFT(ApoioA,9)&lt;&gt;"DIREÇÃO -"),--(ApoioA&lt;&gt;ApoioB),COUNTIFS(ResumoB,ApoioA,ResumoE,"&lt;&gt;",ResumoK,"Pendente"))+IF(COUNTIF(ApoioA,"OUTROS")+COUNTIF(ApoioB,"OUTROS")=0,COUNTIFS(ResumoB,"OUTROS",ResumoK,"Pendente"),0)+IF(COUNTIF(ApoioA,"RESOLUÇÃO 049/2022-CONSUNI/CPPGEC")+COUNTIF(ApoioB,"RESOLUÇÃO 049/2022-CONSUNI/CPPGEC")=0,COUNTIFS(ResumoB,"RESOLUÇÃO 049/2022-CONSUNI/CPPGEC",ResumoK,"Pendente"),0)&gt;0,"Pendente",SUMPRODUCT(--(ApoioA&lt;&gt;"")*--(ApoioA&lt;&gt;"PPGEL +")*--(LEFT(ApoioA,9)&lt;&gt;"DIREÇÃO -"),SUMIFS(ResumoK,ResumoB,ApoioB,ResumoE,"&lt;&gt;"))+SUMPRODUCT(--(ApoioA&lt;&gt;"")*--(ApoioA&lt;&gt;"PPGEL +")*--(LEFT(ApoioA,9)&lt;&gt;"DIREÇÃO -"),--(ApoioA&lt;&gt;ApoioB),SUMIFS(ResumoK,ResumoB,ApoioA,ResumoE,"&lt;&gt;"))+IF(COUNTIF(ApoioA,"OUTROS")+COUNTIF(ApoioB,"OUTROS")=0,SUMIF(ResumoB,"OUTROS",ResumoK),0)+IF(COUNTIF(ApoioA,"RESOLUÇÃO 049/2022-CONSUNI/CPPGEC")+COUNTIF(ApoioB,"RESOLUÇÃO 049/2022-CONSUNI/CPPGEC")=0,SUMIF(ResumoB,"RESOLUÇÃO 049/2022-CONSUNI/CPPGEC",ResumoK),0))+K64+K66,"Pendente")</f>
        <v/>
      </c>
      <c r="L68" s="70" t="n"/>
      <c r="M68" s="95">
        <f>IF(AND(ISNUMBER(IF(SUMPRODUCT(--(ApoioA&lt;&gt;"")*--(ApoioA&lt;&gt;"PPGEL +")*--(LEFT(ApoioA,9)&lt;&gt;"DIREÇÃO -"),COUNTIFS(ResumoB,ApoioB,ResumoE,"&lt;&gt;",ResumoM,"Pendente"))+SUMPRODUCT(--(ApoioA&lt;&gt;"")*--(ApoioA&lt;&gt;"PPGEL +")*--(LEFT(ApoioA,9)&lt;&gt;"DIREÇÃO -"),--(ApoioA&lt;&gt;ApoioB),COUNTIFS(ResumoB,ApoioA,ResumoE,"&lt;&gt;",ResumoM,"Pendente"))+IF(COUNTIF(ApoioA,"OUTROS")+COUNTIF(ApoioB,"OUTROS")=0,COUNTIFS(ResumoB,"OUTROS",ResumoM,"Pendente"),0)+IF(COUNTIF(ApoioA,"RESOLUÇÃO 049/2022-CONSUNI/CPPGEC")+COUNTIF(ApoioB,"RESOLUÇÃO 049/2022-CONSUNI/CPPGEC")=0,COUNTIFS(ResumoB,"RESOLUÇÃO 049/2022-CONSUNI/CPPGEC",ResumoM,"Pendente"),0)&gt;0,"Pendente",SUMPRODUCT(--(ApoioA&lt;&gt;"")*--(ApoioA&lt;&gt;"PPGEL +")*--(LEFT(ApoioA,9)&lt;&gt;"DIREÇÃO -"),SUMIFS(ResumoM,ResumoB,ApoioB,ResumoE,"&lt;&gt;"))+SUMPRODUCT(--(ApoioA&lt;&gt;"")*--(ApoioA&lt;&gt;"PPGEL +")*--(LEFT(ApoioA,9)&lt;&gt;"DIREÇÃO -"),--(ApoioA&lt;&gt;ApoioB),SUMIFS(ResumoM,ResumoB,ApoioA,ResumoE,"&lt;&gt;"))+IF(COUNTIF(ApoioA,"OUTROS")+COUNTIF(ApoioB,"OUTROS")=0,SUMIF(ResumoB,"OUTROS",ResumoM),0)+IF(COUNTIF(ApoioA,"RESOLUÇÃO 049/2022-CONSUNI/CPPGEC")+COUNTIF(ApoioB,"RESOLUÇÃO 049/2022-CONSUNI/CPPGEC")=0,SUMIF(ResumoB,"RESOLUÇÃO 049/2022-CONSUNI/CPPGEC",ResumoM),0))),ISNUMBER(M64),ISNUMBER(M66)),IF(SUMPRODUCT(--(ApoioA&lt;&gt;"")*--(ApoioA&lt;&gt;"PPGEL +")*--(LEFT(ApoioA,9)&lt;&gt;"DIREÇÃO -"),COUNTIFS(ResumoB,ApoioB,ResumoE,"&lt;&gt;",ResumoM,"Pendente"))+SUMPRODUCT(--(ApoioA&lt;&gt;"")*--(ApoioA&lt;&gt;"PPGEL +")*--(LEFT(ApoioA,9)&lt;&gt;"DIREÇÃO -"),--(ApoioA&lt;&gt;ApoioB),COUNTIFS(ResumoB,ApoioA,ResumoE,"&lt;&gt;",ResumoM,"Pendente"))+IF(COUNTIF(ApoioA,"OUTROS")+COUNTIF(ApoioB,"OUTROS")=0,COUNTIFS(ResumoB,"OUTROS",ResumoM,"Pendente"),0)+IF(COUNTIF(ApoioA,"RESOLUÇÃO 049/2022-CONSUNI/CPPGEC")+COUNTIF(ApoioB,"RESOLUÇÃO 049/2022-CONSUNI/CPPGEC")=0,COUNTIFS(ResumoB,"RESOLUÇÃO 049/2022-CONSUNI/CPPGEC",ResumoM,"Pendente"),0)&gt;0,"Pendente",SUMPRODUCT(--(ApoioA&lt;&gt;"")*--(ApoioA&lt;&gt;"PPGEL +")*--(LEFT(ApoioA,9)&lt;&gt;"DIREÇÃO -"),SUMIFS(ResumoM,ResumoB,ApoioB,ResumoE,"&lt;&gt;"))+SUMPRODUCT(--(ApoioA&lt;&gt;"")*--(ApoioA&lt;&gt;"PPGEL +")*--(LEFT(ApoioA,9)&lt;&gt;"DIREÇÃO -"),--(ApoioA&lt;&gt;ApoioB),SUMIFS(ResumoM,ResumoB,ApoioA,ResumoE,"&lt;&gt;"))+IF(COUNTIF(ApoioA,"OUTROS")+COUNTIF(ApoioB,"OUTROS")=0,SUMIF(ResumoB,"OUTROS",ResumoM),0)+IF(COUNTIF(ApoioA,"RESOLUÇÃO 049/2022-CONSUNI/CPPGEC")+COUNTIF(ApoioB,"RESOLUÇÃO 049/2022-CONSUNI/CPPGEC")=0,SUMIF(ResumoB,"RESOLUÇÃO 049/2022-CONSUNI/CPPGEC",ResumoM),0))+M64+M66,"Pendente")</f>
        <v/>
      </c>
    </row>
  </sheetData>
  <mergeCells count="18">
    <mergeCell ref="I38:K38"/>
    <mergeCell ref="M24:M25"/>
    <mergeCell ref="E24:G24"/>
    <mergeCell ref="I24:K24"/>
    <mergeCell ref="C38:C39"/>
    <mergeCell ref="E5:G5"/>
    <mergeCell ref="J2:K2"/>
    <mergeCell ref="B2:I2"/>
    <mergeCell ref="I5:K5"/>
    <mergeCell ref="M38:M39"/>
    <mergeCell ref="B3:I3"/>
    <mergeCell ref="M5:M6"/>
    <mergeCell ref="B24:B25"/>
    <mergeCell ref="C24:C25"/>
    <mergeCell ref="B38:B39"/>
    <mergeCell ref="B5:B6"/>
    <mergeCell ref="E38:G38"/>
    <mergeCell ref="C5:C6"/>
  </mergeCells>
  <conditionalFormatting sqref="G7:G22">
    <cfRule type="cellIs" rank="0" priority="2" equalAverage="0" operator="lessThan" aboveAverage="0" dxfId="6" text="" percent="0" bottom="0">
      <formula>0</formula>
    </cfRule>
  </conditionalFormatting>
  <conditionalFormatting sqref="G26:G36">
    <cfRule type="cellIs" rank="0" priority="3" equalAverage="0" operator="lessThan" aboveAverage="0" dxfId="6" text="" percent="0" bottom="0">
      <formula>0</formula>
    </cfRule>
  </conditionalFormatting>
  <conditionalFormatting sqref="G41:G45">
    <cfRule type="cellIs" rank="0" priority="4" equalAverage="0" operator="lessThan" aboveAverage="0" dxfId="6" text="" percent="0" bottom="0">
      <formula>0</formula>
    </cfRule>
  </conditionalFormatting>
  <conditionalFormatting sqref="K7:K22">
    <cfRule type="cellIs" rank="0" priority="5" equalAverage="0" operator="lessThan" aboveAverage="0" dxfId="6" text="" percent="0" bottom="0">
      <formula>0</formula>
    </cfRule>
  </conditionalFormatting>
  <conditionalFormatting sqref="M7:M22">
    <cfRule type="cellIs" rank="0" priority="6" equalAverage="0" operator="lessThan" aboveAverage="0" dxfId="6" text="" percent="0" bottom="0">
      <formula>0</formula>
    </cfRule>
  </conditionalFormatting>
  <conditionalFormatting sqref="M26:M36">
    <cfRule type="cellIs" rank="0" priority="7" equalAverage="0" operator="lessThan" aboveAverage="0" dxfId="6" text="" percent="0" bottom="0">
      <formula>0</formula>
    </cfRule>
  </conditionalFormatting>
  <conditionalFormatting sqref="K26:K36">
    <cfRule type="cellIs" rank="0" priority="8" equalAverage="0" operator="lessThan" aboveAverage="0" dxfId="6" text="" percent="0" bottom="0">
      <formula>0</formula>
    </cfRule>
  </conditionalFormatting>
  <conditionalFormatting sqref="K41:K45">
    <cfRule type="cellIs" rank="0" priority="9" equalAverage="0" operator="lessThan" aboveAverage="0" dxfId="6" text="" percent="0" bottom="0">
      <formula>0</formula>
    </cfRule>
  </conditionalFormatting>
  <conditionalFormatting sqref="M41:M45">
    <cfRule type="cellIs" rank="0" priority="10" equalAverage="0" operator="lessThan" aboveAverage="0" dxfId="6" text="" percent="0" bottom="0">
      <formula>0</formula>
    </cfRule>
  </conditionalFormatting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2026-10-03T23:43:25Z</dcterms:created>
  <dcterms:modified xsi:type="dcterms:W3CDTF">2026-10-07T16:00:25Z</dcterms:modified>
  <cp:revision>1</cp:revision>
</cp:coreProperties>
</file>